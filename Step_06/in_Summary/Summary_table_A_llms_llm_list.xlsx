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x\Maynooth\IAT\Gender-Career\Analysis\git_for_replication\iat_gender_career\Step_06\in_Summary\"/>
    </mc:Choice>
  </mc:AlternateContent>
  <xr:revisionPtr revIDLastSave="0" documentId="13_ncr:9_{D7C96911-56FB-4A92-84B3-07CA746BD15D}" xr6:coauthVersionLast="47" xr6:coauthVersionMax="47" xr10:uidLastSave="{00000000-0000-0000-0000-000000000000}"/>
  <bookViews>
    <workbookView xWindow="-110" yWindow="-110" windowWidth="19420" windowHeight="10300" activeTab="1" xr2:uid="{0D044E1A-CC31-4D76-BA81-A61329C8A842}"/>
  </bookViews>
  <sheets>
    <sheet name="Summary_table_A_llm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" i="1"/>
  <c r="K2" i="1" s="1"/>
  <c r="K3" i="1" l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</calcChain>
</file>

<file path=xl/sharedStrings.xml><?xml version="1.0" encoding="utf-8"?>
<sst xmlns="http://schemas.openxmlformats.org/spreadsheetml/2006/main" count="655" uniqueCount="287">
  <si>
    <t>lmd</t>
  </si>
  <si>
    <t>baseline</t>
  </si>
  <si>
    <t>corLDMmRT</t>
  </si>
  <si>
    <t>corLDMmRT_CI_lower</t>
  </si>
  <si>
    <t>corLDMmRT_CI_upper</t>
  </si>
  <si>
    <t>corLDM_congruent</t>
  </si>
  <si>
    <t>coef.cos_llama_2_13b_Q8_0_pairs</t>
  </si>
  <si>
    <t>p_value</t>
  </si>
  <si>
    <t>BIC</t>
  </si>
  <si>
    <t>cos_llama_2_13b_Q8_0_pairs</t>
  </si>
  <si>
    <t>m_RT ~ country + Letters_n + Syllables_n+ logBNC</t>
  </si>
  <si>
    <t>cos_llama_2_13b_Q8_0_pairs_names_Upper</t>
  </si>
  <si>
    <t>cos_llama_2_70b_Q5_0_pairs</t>
  </si>
  <si>
    <t>cos_llama_2_70b_Q5_0_pairs_names_Upper</t>
  </si>
  <si>
    <t>cos_llama_2_7b_Q8_0_pairs</t>
  </si>
  <si>
    <t>cos_llama_2_7b_Q8_0_pairs_names_Upper</t>
  </si>
  <si>
    <t>cos_llama_30b_Q8_0_pairs</t>
  </si>
  <si>
    <t>cos_llama_30b_Q8_0_pairs_names_Upper</t>
  </si>
  <si>
    <t>cos_llama_65b_Q5_0_pairs</t>
  </si>
  <si>
    <t>cos_llama_65b_Q5_0_pairs_names_Upper</t>
  </si>
  <si>
    <t>cos_llama_7b_Q8_0_pairs</t>
  </si>
  <si>
    <t>cos_llama_7b_Q8_0_pairs_names_Upper</t>
  </si>
  <si>
    <t>cos_Meta_Llama_3_1_70B_Q5_K_M_pairs</t>
  </si>
  <si>
    <t>cos_Meta_Llama_3_1_70B_Q5_K_M_pairs_names_Upper</t>
  </si>
  <si>
    <t>cos_meta_llama_3_1_8b_q8_0_pairs</t>
  </si>
  <si>
    <t>cos_meta_llama_3_1_8b_q8_0_pairs_names_Upper</t>
  </si>
  <si>
    <t>cos_mistral_7b_v0_1_Q8_0_pairs</t>
  </si>
  <si>
    <t>cos_mistral_7b_v0_1_Q8_0_pairs_names_Upper</t>
  </si>
  <si>
    <t>cos_Mistral_7B_v0_3_Q8_0_pairs</t>
  </si>
  <si>
    <t>cos_Mistral_7B_v0_3_Q8_0_pairs_names_Upper</t>
  </si>
  <si>
    <t>euc_dolphin_2_8_mistral_7b_v02_Q8_0_pairs</t>
  </si>
  <si>
    <t>euc_dolphin_2_8_mistral_7b_v02_Q8_0_pairs_names_Upper</t>
  </si>
  <si>
    <t>euc_Hermes_3_Llama_3_1_70B_Q5_K_M_pairs</t>
  </si>
  <si>
    <t>euc_Hermes_3_Llama_3_1_70B_Q5_K_M_pairs_names_Upper</t>
  </si>
  <si>
    <t>euc_llama_2_13b_Q8_0_pairs</t>
  </si>
  <si>
    <t>euc_llama_2_13b_Q8_0_pairs_names_Upper</t>
  </si>
  <si>
    <t>euc_llama_2_70b_Q5_0_pairs</t>
  </si>
  <si>
    <t>euc_llama_2_70b_Q5_0_pairs_names_Upper</t>
  </si>
  <si>
    <t>euc_llama_2_7b_Q8_0_pairs</t>
  </si>
  <si>
    <t>euc_llama_2_7b_Q8_0_pairs_names_Upper</t>
  </si>
  <si>
    <t>euc_llama_30b_Q8_0_pairs</t>
  </si>
  <si>
    <t>euc_llama_30b_Q8_0_pairs_names_Upper</t>
  </si>
  <si>
    <t>euc_llama_65b_Q5_0_pairs</t>
  </si>
  <si>
    <t>euc_llama_65b_Q5_0_pairs_names_Upper</t>
  </si>
  <si>
    <t>euc_llama_7b_Q8_0_pairs</t>
  </si>
  <si>
    <t>euc_llama_7b_Q8_0_pairs_names_Upper</t>
  </si>
  <si>
    <t>euc_Meta_Llama_3_1_70B_Q5_K_M_pairs</t>
  </si>
  <si>
    <t>euc_Meta_Llama_3_1_70B_Q5_K_M_pairs_names_Upper</t>
  </si>
  <si>
    <t>euc_meta_llama_3_1_8b_q8_0_pairs</t>
  </si>
  <si>
    <t>euc_meta_llama_3_1_8b_q8_0_pairs_names_Upper</t>
  </si>
  <si>
    <t>euc_mistral_7b_v0_1_Q8_0_pairs</t>
  </si>
  <si>
    <t>euc_mistral_7b_v0_1_Q8_0_pairs_names_Upper</t>
  </si>
  <si>
    <t>euc_Mistral_7B_v0_3_Q8_0_pairs</t>
  </si>
  <si>
    <t>euc_Mistral_7B_v0_3_Q8_0_pairs_names_Upper</t>
  </si>
  <si>
    <t>cor_glove_6B_300d_pairs</t>
  </si>
  <si>
    <t>cos_glove_6B_300d_pairs</t>
  </si>
  <si>
    <t>euc_glove_6B_300d_pairs</t>
  </si>
  <si>
    <t>ukwac_conditional_probability_ngram_None_r1</t>
  </si>
  <si>
    <t>m_RT ~ country + Letters_n + Syllables_n+ logUKWAC</t>
  </si>
  <si>
    <t>ukwac_conditional_probability_ngram_None_r10</t>
  </si>
  <si>
    <t>ukwac_conditional_probability_ngram_None_r3</t>
  </si>
  <si>
    <t>ukwac_conditional_probability_ngram_None_r5</t>
  </si>
  <si>
    <t>ukwac_log_ngram_None_r1</t>
  </si>
  <si>
    <t>ukwac_log_ngram_None_r10</t>
  </si>
  <si>
    <t>ukwac_log_ngram_None_r3</t>
  </si>
  <si>
    <t>ukwac_log_ngram_None_r5</t>
  </si>
  <si>
    <t>ukwac_pmi_ngram_None_r1</t>
  </si>
  <si>
    <t>ukwac_pmi_ngram_None_r10</t>
  </si>
  <si>
    <t>ukwac_pmi_ngram_None_r3</t>
  </si>
  <si>
    <t>ukwac_pmi_ngram_None_r5</t>
  </si>
  <si>
    <t>ukwac_ppmi_ngram_None_r1</t>
  </si>
  <si>
    <t>ukwac_ppmi_ngram_None_r10</t>
  </si>
  <si>
    <t>ukwac_ppmi_ngram_None_r3</t>
  </si>
  <si>
    <t>ukwac_ppmi_ngram_None_r5</t>
  </si>
  <si>
    <t>ukwac_probability_ratio_ngram_None_r1</t>
  </si>
  <si>
    <t>ukwac_probability_ratio_ngram_None_r10</t>
  </si>
  <si>
    <t>ukwac_probability_ratio_ngram_None_r3</t>
  </si>
  <si>
    <t>ukwac_probability_ratio_ngram_None_r5</t>
  </si>
  <si>
    <t>cos_ukwac_cbow_100_r1</t>
  </si>
  <si>
    <t>cos_ukwac_cbow_100_r10</t>
  </si>
  <si>
    <t>cos_ukwac_cbow_100_r3</t>
  </si>
  <si>
    <t>cos_ukwac_cbow_100_r5</t>
  </si>
  <si>
    <t>cos_ukwac_cbow_200_r1</t>
  </si>
  <si>
    <t>cos_ukwac_cbow_200_r10</t>
  </si>
  <si>
    <t>cos_ukwac_cbow_200_r3</t>
  </si>
  <si>
    <t>cos_ukwac_cbow_200_r5</t>
  </si>
  <si>
    <t>cos_ukwac_cbow_300_r1</t>
  </si>
  <si>
    <t>cos_ukwac_cbow_300_r10</t>
  </si>
  <si>
    <t>cos_ukwac_cbow_300_r3</t>
  </si>
  <si>
    <t>cos_ukwac_cbow_300_r5</t>
  </si>
  <si>
    <t>cos_ukwac_cbow_50_r1</t>
  </si>
  <si>
    <t>cos_ukwac_cbow_50_r10</t>
  </si>
  <si>
    <t>cos_ukwac_cbow_50_r3</t>
  </si>
  <si>
    <t>cos_ukwac_cbow_50_r5</t>
  </si>
  <si>
    <t>cos_ukwac_cbow_500_r1</t>
  </si>
  <si>
    <t>cos_ukwac_cbow_500_r10</t>
  </si>
  <si>
    <t>cos_ukwac_cbow_500_r3</t>
  </si>
  <si>
    <t>cos_ukwac_cbow_500_r5</t>
  </si>
  <si>
    <t>cos_ukwac_conditional_probability_None_r1</t>
  </si>
  <si>
    <t>cos_ukwac_conditional_probability_None_r10</t>
  </si>
  <si>
    <t>cos_ukwac_conditional_probability_None_r3</t>
  </si>
  <si>
    <t>cos_ukwac_conditional_probability_None_r5</t>
  </si>
  <si>
    <t>cos_ukwac_log_cooccurrence_None_r1</t>
  </si>
  <si>
    <t>cos_ukwac_log_cooccurrence_None_r10</t>
  </si>
  <si>
    <t>cos_ukwac_log_cooccurrence_None_r3</t>
  </si>
  <si>
    <t>cos_ukwac_log_cooccurrence_None_r5</t>
  </si>
  <si>
    <t>cos_ukwac_pmi_None_r1</t>
  </si>
  <si>
    <t>cos_ukwac_pmi_None_r10</t>
  </si>
  <si>
    <t>cos_ukwac_pmi_None_r3</t>
  </si>
  <si>
    <t>cos_ukwac_pmi_None_r5</t>
  </si>
  <si>
    <t>cos_ukwac_ppmi_None_r1</t>
  </si>
  <si>
    <t>cos_ukwac_ppmi_None_r10</t>
  </si>
  <si>
    <t>cos_ukwac_ppmi_None_r3</t>
  </si>
  <si>
    <t>cos_ukwac_ppmi_None_r5</t>
  </si>
  <si>
    <t>cos_ukwac_probability_ratios_None_r1</t>
  </si>
  <si>
    <t>cos_ukwac_probability_ratios_None_r10</t>
  </si>
  <si>
    <t>cos_ukwac_probability_ratios_None_r3</t>
  </si>
  <si>
    <t>cos_ukwac_probability_ratios_None_r5</t>
  </si>
  <si>
    <t>cos_ukwac_skipgram_100_r1</t>
  </si>
  <si>
    <t>cos_ukwac_skipgram_100_r10</t>
  </si>
  <si>
    <t>cos_ukwac_skipgram_100_r3</t>
  </si>
  <si>
    <t>cos_ukwac_skipgram_100_r5</t>
  </si>
  <si>
    <t>cos_ukwac_skipgram_200_r1</t>
  </si>
  <si>
    <t>cos_ukwac_skipgram_200_r10</t>
  </si>
  <si>
    <t>cos_ukwac_skipgram_200_r3</t>
  </si>
  <si>
    <t>cos_ukwac_skipgram_200_r5</t>
  </si>
  <si>
    <t>cos_ukwac_skipgram_300_r1</t>
  </si>
  <si>
    <t>cos_ukwac_skipgram_300_r10</t>
  </si>
  <si>
    <t>cos_ukwac_skipgram_300_r3</t>
  </si>
  <si>
    <t>cos_ukwac_skipgram_300_r5</t>
  </si>
  <si>
    <t>cos_ukwac_skipgram_50_r1</t>
  </si>
  <si>
    <t>cos_ukwac_skipgram_50_r10</t>
  </si>
  <si>
    <t>cos_ukwac_skipgram_50_r3</t>
  </si>
  <si>
    <t>cos_ukwac_skipgram_50_r5</t>
  </si>
  <si>
    <t>cos_ukwac_skipgram_500_r1</t>
  </si>
  <si>
    <t>cos_ukwac_skipgram_500_r10</t>
  </si>
  <si>
    <t>cos_ukwac_skipgram_500_r3</t>
  </si>
  <si>
    <t>cos_ukwac_skipgram_500_r5</t>
  </si>
  <si>
    <t>euc_ukwac_cbow_100_r1</t>
  </si>
  <si>
    <t>euc_ukwac_cbow_100_r10</t>
  </si>
  <si>
    <t>euc_ukwac_cbow_100_r3</t>
  </si>
  <si>
    <t>euc_ukwac_cbow_100_r5</t>
  </si>
  <si>
    <t>euc_ukwac_cbow_200_r1</t>
  </si>
  <si>
    <t>euc_ukwac_cbow_200_r10</t>
  </si>
  <si>
    <t>euc_ukwac_cbow_200_r3</t>
  </si>
  <si>
    <t>euc_ukwac_cbow_200_r5</t>
  </si>
  <si>
    <t>euc_ukwac_cbow_300_r1</t>
  </si>
  <si>
    <t>euc_ukwac_cbow_300_r10</t>
  </si>
  <si>
    <t>euc_ukwac_cbow_300_r3</t>
  </si>
  <si>
    <t>euc_ukwac_cbow_300_r5</t>
  </si>
  <si>
    <t>euc_ukwac_cbow_50_r1</t>
  </si>
  <si>
    <t>euc_ukwac_cbow_50_r10</t>
  </si>
  <si>
    <t>euc_ukwac_cbow_50_r3</t>
  </si>
  <si>
    <t>euc_ukwac_cbow_50_r5</t>
  </si>
  <si>
    <t>euc_ukwac_cbow_500_r1</t>
  </si>
  <si>
    <t>euc_ukwac_cbow_500_r10</t>
  </si>
  <si>
    <t>euc_ukwac_cbow_500_r3</t>
  </si>
  <si>
    <t>euc_ukwac_cbow_500_r5</t>
  </si>
  <si>
    <t>euc_ukwac_conditional_probability_None_r1</t>
  </si>
  <si>
    <t>euc_ukwac_conditional_probability_None_r10</t>
  </si>
  <si>
    <t>euc_ukwac_conditional_probability_None_r3</t>
  </si>
  <si>
    <t>euc_ukwac_conditional_probability_None_r5</t>
  </si>
  <si>
    <t>euc_ukwac_log_cooccurrence_None_r1</t>
  </si>
  <si>
    <t>euc_ukwac_log_cooccurrence_None_r10</t>
  </si>
  <si>
    <t>euc_ukwac_log_cooccurrence_None_r3</t>
  </si>
  <si>
    <t>euc_ukwac_log_cooccurrence_None_r5</t>
  </si>
  <si>
    <t>euc_ukwac_pmi_None_r1</t>
  </si>
  <si>
    <t>euc_ukwac_pmi_None_r10</t>
  </si>
  <si>
    <t>euc_ukwac_pmi_None_r3</t>
  </si>
  <si>
    <t>euc_ukwac_pmi_None_r5</t>
  </si>
  <si>
    <t>euc_ukwac_ppmi_None_r1</t>
  </si>
  <si>
    <t>euc_ukwac_ppmi_None_r10</t>
  </si>
  <si>
    <t>euc_ukwac_ppmi_None_r3</t>
  </si>
  <si>
    <t>euc_ukwac_ppmi_None_r5</t>
  </si>
  <si>
    <t>euc_ukwac_probability_ratios_None_r1</t>
  </si>
  <si>
    <t>euc_ukwac_probability_ratios_None_r10</t>
  </si>
  <si>
    <t>euc_ukwac_probability_ratios_None_r3</t>
  </si>
  <si>
    <t>euc_ukwac_probability_ratios_None_r5</t>
  </si>
  <si>
    <t>euc_ukwac_skipgram_100_r1</t>
  </si>
  <si>
    <t>euc_ukwac_skipgram_100_r10</t>
  </si>
  <si>
    <t>euc_ukwac_skipgram_100_r3</t>
  </si>
  <si>
    <t>euc_ukwac_skipgram_100_r5</t>
  </si>
  <si>
    <t>euc_ukwac_skipgram_200_r1</t>
  </si>
  <si>
    <t>euc_ukwac_skipgram_200_r10</t>
  </si>
  <si>
    <t>euc_ukwac_skipgram_200_r3</t>
  </si>
  <si>
    <t>euc_ukwac_skipgram_200_r5</t>
  </si>
  <si>
    <t>euc_ukwac_skipgram_300_r1</t>
  </si>
  <si>
    <t>euc_ukwac_skipgram_300_r10</t>
  </si>
  <si>
    <t>euc_ukwac_skipgram_300_r3</t>
  </si>
  <si>
    <t>euc_ukwac_skipgram_300_r5</t>
  </si>
  <si>
    <t>euc_ukwac_skipgram_50_r1</t>
  </si>
  <si>
    <t>euc_ukwac_skipgram_50_r10</t>
  </si>
  <si>
    <t>euc_ukwac_skipgram_50_r3</t>
  </si>
  <si>
    <t>euc_ukwac_skipgram_50_r5</t>
  </si>
  <si>
    <t>euc_ukwac_skipgram_500_r1</t>
  </si>
  <si>
    <t>euc_ukwac_skipgram_500_r10</t>
  </si>
  <si>
    <t>euc_ukwac_skipgram_500_r3</t>
  </si>
  <si>
    <t>euc_ukwac_skipgram_500_r5</t>
  </si>
  <si>
    <t>cor_ukwac_cbow_100_r1</t>
  </si>
  <si>
    <t>cor_ukwac_cbow_100_r10</t>
  </si>
  <si>
    <t>cor_ukwac_cbow_100_r3</t>
  </si>
  <si>
    <t>cor_ukwac_cbow_100_r5</t>
  </si>
  <si>
    <t>cor_ukwac_cbow_200_r1</t>
  </si>
  <si>
    <t>cor_ukwac_cbow_200_r10</t>
  </si>
  <si>
    <t>cor_ukwac_cbow_200_r3</t>
  </si>
  <si>
    <t>cor_ukwac_cbow_200_r5</t>
  </si>
  <si>
    <t>cor_ukwac_cbow_300_r1</t>
  </si>
  <si>
    <t>cor_ukwac_cbow_300_r10</t>
  </si>
  <si>
    <t>cor_ukwac_cbow_300_r3</t>
  </si>
  <si>
    <t>cor_ukwac_cbow_300_r5</t>
  </si>
  <si>
    <t>cor_ukwac_cbow_50_r1</t>
  </si>
  <si>
    <t>cor_ukwac_cbow_50_r10</t>
  </si>
  <si>
    <t>cor_ukwac_cbow_50_r3</t>
  </si>
  <si>
    <t>cor_ukwac_cbow_50_r5</t>
  </si>
  <si>
    <t>cor_ukwac_cbow_500_r1</t>
  </si>
  <si>
    <t>cor_ukwac_cbow_500_r10</t>
  </si>
  <si>
    <t>cor_ukwac_cbow_500_r3</t>
  </si>
  <si>
    <t>cor_ukwac_cbow_500_r5</t>
  </si>
  <si>
    <t>cor_ukwac_conditional_probability_None_r1</t>
  </si>
  <si>
    <t>cor_ukwac_conditional_probability_None_r10</t>
  </si>
  <si>
    <t>cor_ukwac_conditional_probability_None_r3</t>
  </si>
  <si>
    <t>cor_ukwac_conditional_probability_None_r5</t>
  </si>
  <si>
    <t>cor_ukwac_log_cooccurrence_None_r1</t>
  </si>
  <si>
    <t>cor_ukwac_log_cooccurrence_None_r10</t>
  </si>
  <si>
    <t>cor_ukwac_log_cooccurrence_None_r3</t>
  </si>
  <si>
    <t>cor_ukwac_log_cooccurrence_None_r5</t>
  </si>
  <si>
    <t>cor_ukwac_pmi_None_r1</t>
  </si>
  <si>
    <t>cor_ukwac_pmi_None_r10</t>
  </si>
  <si>
    <t>cor_ukwac_pmi_None_r3</t>
  </si>
  <si>
    <t>cor_ukwac_pmi_None_r5</t>
  </si>
  <si>
    <t>cor_ukwac_ppmi_None_r1</t>
  </si>
  <si>
    <t>cor_ukwac_ppmi_None_r10</t>
  </si>
  <si>
    <t>cor_ukwac_ppmi_None_r3</t>
  </si>
  <si>
    <t>cor_ukwac_ppmi_None_r5</t>
  </si>
  <si>
    <t>cor_ukwac_probability_ratios_None_r1</t>
  </si>
  <si>
    <t>cor_ukwac_probability_ratios_None_r10</t>
  </si>
  <si>
    <t>cor_ukwac_probability_ratios_None_r3</t>
  </si>
  <si>
    <t>cor_ukwac_probability_ratios_None_r5</t>
  </si>
  <si>
    <t>cor_ukwac_skipgram_100_r1</t>
  </si>
  <si>
    <t>cor_ukwac_skipgram_100_r10</t>
  </si>
  <si>
    <t>cor_ukwac_skipgram_100_r3</t>
  </si>
  <si>
    <t>cor_ukwac_skipgram_100_r5</t>
  </si>
  <si>
    <t>cor_ukwac_skipgram_200_r1</t>
  </si>
  <si>
    <t>cor_ukwac_skipgram_200_r10</t>
  </si>
  <si>
    <t>cor_ukwac_skipgram_200_r3</t>
  </si>
  <si>
    <t>cor_ukwac_skipgram_200_r5</t>
  </si>
  <si>
    <t>cor_ukwac_skipgram_300_r1</t>
  </si>
  <si>
    <t>cor_ukwac_skipgram_300_r10</t>
  </si>
  <si>
    <t>cor_ukwac_skipgram_300_r3</t>
  </si>
  <si>
    <t>cor_ukwac_skipgram_300_r5</t>
  </si>
  <si>
    <t>cor_ukwac_skipgram_50_r1</t>
  </si>
  <si>
    <t>cor_ukwac_skipgram_50_r10</t>
  </si>
  <si>
    <t>cor_ukwac_skipgram_50_r3</t>
  </si>
  <si>
    <t>cor_ukwac_skipgram_50_r5</t>
  </si>
  <si>
    <t>cor_ukwac_skipgram_500_r1</t>
  </si>
  <si>
    <t>cor_ukwac_skipgram_500_r10</t>
  </si>
  <si>
    <t>cor_ukwac_skipgram_500_r3</t>
  </si>
  <si>
    <t>cor_ukwac_skipgram_500_r5</t>
  </si>
  <si>
    <t>cor_dolphin_2_8_mistral_7b_v02_Q8_0_pairs</t>
  </si>
  <si>
    <t>cor_dolphin_2_8_mistral_7b_v02_Q8_0_pairs_names_Upper</t>
  </si>
  <si>
    <t>cor_Hermes_3_Llama_3_1_70B_Q5_K_M_pairs</t>
  </si>
  <si>
    <t>cor_Hermes_3_Llama_3_1_70B_Q5_K_M_pairs_names_Upper</t>
  </si>
  <si>
    <t>cor_llama_2_13b_Q8_0_pairs</t>
  </si>
  <si>
    <t>cor_llama_2_13b_Q8_0_pairs_names_Upper</t>
  </si>
  <si>
    <t>cor_llama_2_70b_Q5_0_pairs</t>
  </si>
  <si>
    <t>cor_llama_2_70b_Q5_0_pairs_names_Upper</t>
  </si>
  <si>
    <t>cor_llama_2_7b_Q8_0_pairs</t>
  </si>
  <si>
    <t>cor_llama_2_7b_Q8_0_pairs_names_Upper</t>
  </si>
  <si>
    <t>cor_llama_30b_Q8_0_pairs</t>
  </si>
  <si>
    <t>cor_llama_30b_Q8_0_pairs_names_Upper</t>
  </si>
  <si>
    <t>cor_llama_65b_Q5_0_pairs</t>
  </si>
  <si>
    <t>cor_llama_65b_Q5_0_pairs_names_Upper</t>
  </si>
  <si>
    <t>cor_llama_7b_Q8_0_pairs</t>
  </si>
  <si>
    <t>cor_llama_7b_Q8_0_pairs_names_Upper</t>
  </si>
  <si>
    <t>cor_Meta_Llama_3_1_70B_Q5_K_M_pairs</t>
  </si>
  <si>
    <t>cor_Meta_Llama_3_1_70B_Q5_K_M_pairs_names_Upper</t>
  </si>
  <si>
    <t>cor_meta_llama_3_1_8b_q8_0_pairs</t>
  </si>
  <si>
    <t>cor_meta_llama_3_1_8b_q8_0_pairs_names_Upper</t>
  </si>
  <si>
    <t>cor_mistral_7b_v0_1_Q8_0_pairs</t>
  </si>
  <si>
    <t>cor_mistral_7b_v0_1_Q8_0_pairs_names_Upper</t>
  </si>
  <si>
    <t>cor_Mistral_7B_v0_3_Q8_0_pairs</t>
  </si>
  <si>
    <t>cor_Mistral_7B_v0_3_Q8_0_pairs_names_Upper</t>
  </si>
  <si>
    <t>cos_dolphin_2_8_mistral_7b_v02_Q8_0_pairs</t>
  </si>
  <si>
    <t>cos_dolphin_2_8_mistral_7b_v02_Q8_0_pairs_names_Upper</t>
  </si>
  <si>
    <t>cos_Hermes_3_Llama_3_1_70B_Q5_K_M_pairs</t>
  </si>
  <si>
    <t>cos_Hermes_3_Llama_3_1_70B_Q5_K_M_pairs_names_Upper</t>
  </si>
  <si>
    <t>"_llama_2_13b_Q8_0","_llama_2_13b_Q8_0","_llama_2_70b_Q5_0","_llama_2_70b_Q5_0","_llama_2_7b_Q8_0","_llama_2_7b_Q8_0","_llama_30b_Q8_0","_llama_30b_Q8_0","_llama_65b_Q5_0","_llama_65b_Q5_0","_llama_7b_Q8_0","_llama_7b_Q8_0","_Meta_Llama_3_1_70B_Q5_K_M","_Meta_Llama_3_1_70B_Q5_K_M","_meta_llama_3_1_8b_q8_0","_meta_llama_3_1_8b_q8_0","_mistral_7b_v0_1_Q8_0","_mistral_7b_v0_1_Q8_0","_Mistral_7B_v0_3_Q8_0","_Mistral_7B_v0_3_Q8_0","_dolphin_2_8_mistral_7b_v02_Q8_0","_dolphin_2_8_mistral_7b_v02_Q8_0","_Hermes_3_Llama_3_1_70B_Q5_K_M","_Hermes_3_Llama_3_1_70B_Q5_K_M","_llama_2_13b_Q8_0","_llama_2_13b_Q8_0","_llama_2_70b_Q5_0","_llama_2_70b_Q5_0","_llama_2_7b_Q8_0","_llama_2_7b_Q8_0","_llama_30b_Q8_0","_llama_30b_Q8_0","_llama_65b_Q5_0","_llama_65b_Q5_0","_llama_7b_Q8_0","_llama_7b_Q8_0","_Meta_Llama_3_1_70B_Q5_K_M","_Meta_Llama_3_1_70B_Q5_K_M","_meta_llama_3_1_8b_q8_0","_meta_llama_3_1_8b_q8_0","_mistral_7b_v0_1_Q8_0","_mistral_7b_v0_1_Q8_0","_Mistral_7B_v0_3_Q8_0","_Mistral_7B_v0_3_Q8_0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</si>
</sst>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D21-FF4F-401A-8097-D145A4291A67}">
  <dimension ref="A1:K323"/>
  <sheetViews>
    <sheetView topLeftCell="A34" workbookViewId="0">
      <selection activeCell="K45" sqref="K45"/>
    </sheetView>
  </sheetViews>
  <sheetFormatPr defaultRowHeight="14.5" x14ac:dyDescent="0.35"/>
  <cols>
    <col min="1" max="1" width="54.7265625" customWidth="1"/>
    <col min="2" max="2" width="48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5">
      <c r="A2" t="s">
        <v>9</v>
      </c>
      <c r="B2" t="s">
        <v>10</v>
      </c>
      <c r="C2">
        <v>-0.46600000000000003</v>
      </c>
      <c r="D2">
        <v>-0.57999999999999996</v>
      </c>
      <c r="E2">
        <v>-0.32600000000000001</v>
      </c>
      <c r="F2" s="1">
        <v>3.6368663292927597E-5</v>
      </c>
      <c r="G2">
        <v>-405.76</v>
      </c>
      <c r="H2">
        <v>3.5000000000000003E-2</v>
      </c>
      <c r="I2">
        <v>1178</v>
      </c>
      <c r="J2" t="str">
        <f>MID(A2,4,LEN(A2))</f>
        <v>_llama_2_13b_Q8_0_pairs</v>
      </c>
      <c r="K2" t="str">
        <f>""""&amp; J2 &amp;""","</f>
        <v>"_llama_2_13b_Q8_0_pairs",</v>
      </c>
    </row>
    <row r="3" spans="1:11" x14ac:dyDescent="0.35">
      <c r="A3" t="s">
        <v>11</v>
      </c>
      <c r="B3" t="s">
        <v>10</v>
      </c>
      <c r="C3">
        <v>-0.54500000000000004</v>
      </c>
      <c r="D3">
        <v>-0.65500000000000003</v>
      </c>
      <c r="E3">
        <v>-0.40600000000000003</v>
      </c>
      <c r="F3">
        <v>1.1796894794840801E-3</v>
      </c>
      <c r="G3">
        <v>-529.36</v>
      </c>
      <c r="H3">
        <v>1E-3</v>
      </c>
      <c r="I3">
        <v>1171.4000000000001</v>
      </c>
      <c r="J3" t="str">
        <f t="shared" ref="J3:J45" si="0">MID(A3,4,LEN(A3))</f>
        <v>_llama_2_13b_Q8_0_pairs_names_Upper</v>
      </c>
      <c r="K3" t="str">
        <f>K2&amp;""""&amp; J3 &amp;""","</f>
        <v>"_llama_2_13b_Q8_0_pairs","_llama_2_13b_Q8_0_pairs_names_Upper",</v>
      </c>
    </row>
    <row r="4" spans="1:11" x14ac:dyDescent="0.35">
      <c r="A4" t="s">
        <v>12</v>
      </c>
      <c r="B4" t="s">
        <v>10</v>
      </c>
      <c r="C4">
        <v>-0.311</v>
      </c>
      <c r="D4">
        <v>-0.45300000000000001</v>
      </c>
      <c r="E4">
        <v>-0.14699999999999999</v>
      </c>
      <c r="F4">
        <v>9.3191844425627501E-2</v>
      </c>
      <c r="G4">
        <v>-215.11</v>
      </c>
      <c r="H4">
        <v>0.129</v>
      </c>
      <c r="I4">
        <v>1180.3</v>
      </c>
      <c r="J4" t="str">
        <f t="shared" si="0"/>
        <v>_llama_2_70b_Q5_0_pairs</v>
      </c>
      <c r="K4" t="str">
        <f t="shared" ref="K4:K45" si="1">K3&amp;""""&amp; J4 &amp;""","</f>
        <v>"_llama_2_13b_Q8_0_pairs","_llama_2_13b_Q8_0_pairs_names_Upper","_llama_2_70b_Q5_0_pairs",</v>
      </c>
    </row>
    <row r="5" spans="1:11" x14ac:dyDescent="0.35">
      <c r="A5" t="s">
        <v>13</v>
      </c>
      <c r="B5" t="s">
        <v>10</v>
      </c>
      <c r="C5">
        <v>-0.57699999999999996</v>
      </c>
      <c r="D5">
        <v>-0.66600000000000004</v>
      </c>
      <c r="E5">
        <v>-0.47099999999999997</v>
      </c>
      <c r="F5">
        <v>5.1494375518012503E-2</v>
      </c>
      <c r="G5">
        <v>-402.85</v>
      </c>
      <c r="H5">
        <v>0</v>
      </c>
      <c r="I5">
        <v>1164.8</v>
      </c>
      <c r="J5" t="str">
        <f t="shared" si="0"/>
        <v>_llama_2_70b_Q5_0_pairs_names_Upper</v>
      </c>
      <c r="K5" t="str">
        <f t="shared" si="1"/>
        <v>"_llama_2_13b_Q8_0_pairs","_llama_2_13b_Q8_0_pairs_names_Upper","_llama_2_70b_Q5_0_pairs","_llama_2_70b_Q5_0_pairs_names_Upper",</v>
      </c>
    </row>
    <row r="6" spans="1:11" x14ac:dyDescent="0.35">
      <c r="A6" t="s">
        <v>14</v>
      </c>
      <c r="B6" t="s">
        <v>10</v>
      </c>
      <c r="C6">
        <v>-0.58799999999999997</v>
      </c>
      <c r="D6">
        <v>-0.71799999999999997</v>
      </c>
      <c r="E6">
        <v>-0.434</v>
      </c>
      <c r="F6">
        <v>5.8499125171133801E-2</v>
      </c>
      <c r="G6">
        <v>-762.83</v>
      </c>
      <c r="H6">
        <v>0</v>
      </c>
      <c r="I6">
        <v>1163.7</v>
      </c>
      <c r="J6" t="str">
        <f t="shared" si="0"/>
        <v>_llama_2_7b_Q8_0_pairs</v>
      </c>
      <c r="K6" t="str">
        <f t="shared" si="1"/>
        <v>"_llama_2_13b_Q8_0_pairs","_llama_2_13b_Q8_0_pairs_names_Upper","_llama_2_70b_Q5_0_pairs","_llama_2_70b_Q5_0_pairs_names_Upper","_llama_2_7b_Q8_0_pairs",</v>
      </c>
    </row>
    <row r="7" spans="1:11" x14ac:dyDescent="0.35">
      <c r="A7" t="s">
        <v>15</v>
      </c>
      <c r="B7" t="s">
        <v>10</v>
      </c>
      <c r="C7">
        <v>-0.66200000000000003</v>
      </c>
      <c r="D7">
        <v>-0.75600000000000001</v>
      </c>
      <c r="E7">
        <v>-0.54900000000000004</v>
      </c>
      <c r="F7">
        <v>1.9288279676295601E-2</v>
      </c>
      <c r="G7">
        <v>-399.32</v>
      </c>
      <c r="H7">
        <v>0</v>
      </c>
      <c r="I7">
        <v>1149.9000000000001</v>
      </c>
      <c r="J7" t="str">
        <f t="shared" si="0"/>
        <v>_llama_2_7b_Q8_0_pairs_names_Upper</v>
      </c>
      <c r="K7" t="str">
        <f t="shared" si="1"/>
        <v>"_llama_2_13b_Q8_0_pairs","_llama_2_13b_Q8_0_pairs_names_Upper","_llama_2_70b_Q5_0_pairs","_llama_2_70b_Q5_0_pairs_names_Upper","_llama_2_7b_Q8_0_pairs","_llama_2_7b_Q8_0_pairs_names_Upper",</v>
      </c>
    </row>
    <row r="8" spans="1:11" x14ac:dyDescent="0.35">
      <c r="A8" t="s">
        <v>16</v>
      </c>
      <c r="B8" t="s">
        <v>10</v>
      </c>
      <c r="C8">
        <v>-0.28399999999999997</v>
      </c>
      <c r="D8">
        <v>-0.47299999999999998</v>
      </c>
      <c r="E8">
        <v>-9.7000000000000003E-2</v>
      </c>
      <c r="F8">
        <v>2.2358928057497899E-2</v>
      </c>
      <c r="G8">
        <v>-47.3</v>
      </c>
      <c r="H8">
        <v>0.61099999999999999</v>
      </c>
      <c r="I8">
        <v>1182.5</v>
      </c>
      <c r="J8" t="str">
        <f t="shared" si="0"/>
        <v>_llama_30b_Q8_0_pairs</v>
      </c>
      <c r="K8" t="str">
        <f t="shared" si="1"/>
        <v>"_llama_2_13b_Q8_0_pairs","_llama_2_13b_Q8_0_pairs_names_Upper","_llama_2_70b_Q5_0_pairs","_llama_2_70b_Q5_0_pairs_names_Upper","_llama_2_7b_Q8_0_pairs","_llama_2_7b_Q8_0_pairs_names_Upper","_llama_30b_Q8_0_pairs",</v>
      </c>
    </row>
    <row r="9" spans="1:11" x14ac:dyDescent="0.35">
      <c r="A9" t="s">
        <v>17</v>
      </c>
      <c r="B9" t="s">
        <v>10</v>
      </c>
      <c r="C9">
        <v>-0.42199999999999999</v>
      </c>
      <c r="D9">
        <v>-0.57399999999999995</v>
      </c>
      <c r="E9">
        <v>-0.246</v>
      </c>
      <c r="F9">
        <v>1.33176774561998E-2</v>
      </c>
      <c r="G9">
        <v>-143.22999999999999</v>
      </c>
      <c r="H9">
        <v>6.9000000000000006E-2</v>
      </c>
      <c r="I9">
        <v>1179.2</v>
      </c>
      <c r="J9" t="str">
        <f t="shared" si="0"/>
        <v>_llama_30b_Q8_0_pairs_names_Upper</v>
      </c>
      <c r="K9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</v>
      </c>
    </row>
    <row r="10" spans="1:11" x14ac:dyDescent="0.35">
      <c r="A10" t="s">
        <v>18</v>
      </c>
      <c r="B10" t="s">
        <v>10</v>
      </c>
      <c r="C10">
        <v>-0.47499999999999998</v>
      </c>
      <c r="D10">
        <v>-0.61499999999999999</v>
      </c>
      <c r="E10">
        <v>-0.34300000000000003</v>
      </c>
      <c r="F10">
        <v>6.5513210196499694E-2</v>
      </c>
      <c r="G10">
        <v>-373.47</v>
      </c>
      <c r="H10">
        <v>1.0999999999999999E-2</v>
      </c>
      <c r="I10">
        <v>1175.9000000000001</v>
      </c>
      <c r="J10" t="str">
        <f t="shared" si="0"/>
        <v>_llama_65b_Q5_0_pairs</v>
      </c>
      <c r="K10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</v>
      </c>
    </row>
    <row r="11" spans="1:11" x14ac:dyDescent="0.35">
      <c r="A11" t="s">
        <v>19</v>
      </c>
      <c r="B11" t="s">
        <v>10</v>
      </c>
      <c r="C11">
        <v>-0.61099999999999999</v>
      </c>
      <c r="D11">
        <v>-0.71</v>
      </c>
      <c r="E11">
        <v>-0.48499999999999999</v>
      </c>
      <c r="F11">
        <v>4.9026731415567099E-2</v>
      </c>
      <c r="G11">
        <v>-388.28</v>
      </c>
      <c r="H11">
        <v>0</v>
      </c>
      <c r="I11">
        <v>1159.9000000000001</v>
      </c>
      <c r="J11" t="str">
        <f t="shared" si="0"/>
        <v>_llama_65b_Q5_0_pairs_names_Upper</v>
      </c>
      <c r="K11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</v>
      </c>
    </row>
    <row r="12" spans="1:11" x14ac:dyDescent="0.35">
      <c r="A12" t="s">
        <v>20</v>
      </c>
      <c r="B12" t="s">
        <v>10</v>
      </c>
      <c r="C12">
        <v>-0.42099999999999999</v>
      </c>
      <c r="D12">
        <v>-0.56899999999999995</v>
      </c>
      <c r="E12">
        <v>-0.22800000000000001</v>
      </c>
      <c r="F12">
        <v>-5.0292527766694099E-3</v>
      </c>
      <c r="G12">
        <v>-347.86</v>
      </c>
      <c r="H12">
        <v>7.1999999999999995E-2</v>
      </c>
      <c r="I12">
        <v>1179.3</v>
      </c>
      <c r="J12" t="str">
        <f t="shared" si="0"/>
        <v>_llama_7b_Q8_0_pairs</v>
      </c>
      <c r="K12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</v>
      </c>
    </row>
    <row r="13" spans="1:11" x14ac:dyDescent="0.35">
      <c r="A13" t="s">
        <v>21</v>
      </c>
      <c r="B13" t="s">
        <v>10</v>
      </c>
      <c r="C13">
        <v>-0.61399999999999999</v>
      </c>
      <c r="D13">
        <v>-0.71299999999999997</v>
      </c>
      <c r="E13">
        <v>-0.50800000000000001</v>
      </c>
      <c r="F13">
        <v>-2.4584849868729899E-3</v>
      </c>
      <c r="G13">
        <v>-377.38</v>
      </c>
      <c r="H13">
        <v>0</v>
      </c>
      <c r="I13">
        <v>1160</v>
      </c>
      <c r="J13" t="str">
        <f t="shared" si="0"/>
        <v>_llama_7b_Q8_0_pairs_names_Upper</v>
      </c>
      <c r="K13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</v>
      </c>
    </row>
    <row r="14" spans="1:11" x14ac:dyDescent="0.35">
      <c r="A14" t="s">
        <v>22</v>
      </c>
      <c r="B14" t="s">
        <v>10</v>
      </c>
      <c r="C14">
        <v>0.13</v>
      </c>
      <c r="D14">
        <v>-7.2999999999999995E-2</v>
      </c>
      <c r="E14">
        <v>0.314</v>
      </c>
      <c r="F14">
        <v>4.4723228885559699E-2</v>
      </c>
      <c r="G14">
        <v>405.43</v>
      </c>
      <c r="H14">
        <v>2.9000000000000001E-2</v>
      </c>
      <c r="I14">
        <v>1177.7</v>
      </c>
      <c r="J14" t="str">
        <f t="shared" si="0"/>
        <v>_Meta_Llama_3_1_70B_Q5_K_M_pairs</v>
      </c>
      <c r="K14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</v>
      </c>
    </row>
    <row r="15" spans="1:11" x14ac:dyDescent="0.35">
      <c r="A15" t="s">
        <v>23</v>
      </c>
      <c r="B15" t="s">
        <v>10</v>
      </c>
      <c r="C15">
        <v>-0.56399999999999995</v>
      </c>
      <c r="D15">
        <v>-0.66100000000000003</v>
      </c>
      <c r="E15">
        <v>-0.441</v>
      </c>
      <c r="F15">
        <v>5.2032730231448597E-3</v>
      </c>
      <c r="G15">
        <v>-367.45</v>
      </c>
      <c r="H15">
        <v>0</v>
      </c>
      <c r="I15">
        <v>1168.0999999999999</v>
      </c>
      <c r="J15" t="str">
        <f t="shared" si="0"/>
        <v>_Meta_Llama_3_1_70B_Q5_K_M_pairs_names_Upper</v>
      </c>
      <c r="K15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</v>
      </c>
    </row>
    <row r="16" spans="1:11" x14ac:dyDescent="0.35">
      <c r="A16" t="s">
        <v>24</v>
      </c>
      <c r="B16" t="s">
        <v>10</v>
      </c>
      <c r="C16">
        <v>0</v>
      </c>
      <c r="D16">
        <v>-0.17599999999999999</v>
      </c>
      <c r="E16">
        <v>0.222</v>
      </c>
      <c r="F16">
        <v>4.3093020013857203E-2</v>
      </c>
      <c r="G16">
        <v>257.11</v>
      </c>
      <c r="H16">
        <v>0.107</v>
      </c>
      <c r="I16">
        <v>1180</v>
      </c>
      <c r="J16" t="str">
        <f t="shared" si="0"/>
        <v>_meta_llama_3_1_8b_q8_0_pairs</v>
      </c>
      <c r="K16" t="str">
        <f>K15&amp;""""&amp; J16 &amp;""","</f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</v>
      </c>
    </row>
    <row r="17" spans="1:11" x14ac:dyDescent="0.35">
      <c r="A17" t="s">
        <v>25</v>
      </c>
      <c r="B17" t="s">
        <v>10</v>
      </c>
      <c r="C17">
        <v>-0.53700000000000003</v>
      </c>
      <c r="D17">
        <v>-0.65200000000000002</v>
      </c>
      <c r="E17">
        <v>-0.39600000000000002</v>
      </c>
      <c r="F17">
        <v>5.70807029281709E-3</v>
      </c>
      <c r="G17">
        <v>-387.72</v>
      </c>
      <c r="H17">
        <v>1E-3</v>
      </c>
      <c r="I17">
        <v>1170.8</v>
      </c>
      <c r="J17" t="str">
        <f t="shared" si="0"/>
        <v>_meta_llama_3_1_8b_q8_0_pairs_names_Upper</v>
      </c>
      <c r="K17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</v>
      </c>
    </row>
    <row r="18" spans="1:11" x14ac:dyDescent="0.35">
      <c r="A18" t="s">
        <v>26</v>
      </c>
      <c r="B18" t="s">
        <v>10</v>
      </c>
      <c r="C18">
        <v>-0.47399999999999998</v>
      </c>
      <c r="D18">
        <v>-0.58499999999999996</v>
      </c>
      <c r="E18">
        <v>-0.33500000000000002</v>
      </c>
      <c r="F18">
        <v>-2.7678541060593598E-3</v>
      </c>
      <c r="G18">
        <v>-489.07</v>
      </c>
      <c r="H18">
        <v>1.4E-2</v>
      </c>
      <c r="I18">
        <v>1176.3</v>
      </c>
      <c r="J18" t="str">
        <f t="shared" si="0"/>
        <v>_mistral_7b_v0_1_Q8_0_pairs</v>
      </c>
      <c r="K18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</v>
      </c>
    </row>
    <row r="19" spans="1:11" x14ac:dyDescent="0.35">
      <c r="A19" t="s">
        <v>27</v>
      </c>
      <c r="B19" t="s">
        <v>10</v>
      </c>
      <c r="C19">
        <v>-0.59799999999999998</v>
      </c>
      <c r="D19">
        <v>-0.68600000000000005</v>
      </c>
      <c r="E19">
        <v>-0.498</v>
      </c>
      <c r="F19">
        <v>4.4588108974514696E-3</v>
      </c>
      <c r="G19">
        <v>-660.62</v>
      </c>
      <c r="H19">
        <v>0</v>
      </c>
      <c r="I19">
        <v>1163.7</v>
      </c>
      <c r="J19" t="str">
        <f t="shared" si="0"/>
        <v>_mistral_7b_v0_1_Q8_0_pairs_names_Upper</v>
      </c>
      <c r="K19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</v>
      </c>
    </row>
    <row r="20" spans="1:11" x14ac:dyDescent="0.35">
      <c r="A20" t="s">
        <v>28</v>
      </c>
      <c r="B20" t="s">
        <v>10</v>
      </c>
      <c r="C20">
        <v>-0.48499999999999999</v>
      </c>
      <c r="D20">
        <v>-0.59399999999999997</v>
      </c>
      <c r="E20">
        <v>-0.36499999999999999</v>
      </c>
      <c r="F20">
        <v>-1.9136880009234299E-2</v>
      </c>
      <c r="G20">
        <v>-518.16</v>
      </c>
      <c r="H20">
        <v>1.6E-2</v>
      </c>
      <c r="I20">
        <v>1176.5</v>
      </c>
      <c r="J20" t="str">
        <f t="shared" si="0"/>
        <v>_Mistral_7B_v0_3_Q8_0_pairs</v>
      </c>
      <c r="K20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</v>
      </c>
    </row>
    <row r="21" spans="1:11" x14ac:dyDescent="0.35">
      <c r="A21" t="s">
        <v>29</v>
      </c>
      <c r="B21" t="s">
        <v>10</v>
      </c>
      <c r="C21">
        <v>-0.60399999999999998</v>
      </c>
      <c r="D21">
        <v>-0.69299999999999995</v>
      </c>
      <c r="E21">
        <v>-0.501</v>
      </c>
      <c r="F21">
        <v>-8.0112546656120505E-3</v>
      </c>
      <c r="G21">
        <v>-658.21</v>
      </c>
      <c r="H21">
        <v>0</v>
      </c>
      <c r="I21">
        <v>1162.5</v>
      </c>
      <c r="J21" t="str">
        <f t="shared" si="0"/>
        <v>_Mistral_7B_v0_3_Q8_0_pairs_names_Upper</v>
      </c>
      <c r="K21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</v>
      </c>
    </row>
    <row r="22" spans="1:11" x14ac:dyDescent="0.35">
      <c r="A22" t="s">
        <v>30</v>
      </c>
      <c r="B22" t="s">
        <v>10</v>
      </c>
      <c r="C22">
        <v>-0.40699999999999997</v>
      </c>
      <c r="D22">
        <v>-0.54500000000000004</v>
      </c>
      <c r="E22">
        <v>-0.25700000000000001</v>
      </c>
      <c r="F22">
        <v>-3.4448570338173399E-3</v>
      </c>
      <c r="G22">
        <v>-1.25</v>
      </c>
      <c r="H22">
        <v>1.9E-2</v>
      </c>
      <c r="I22">
        <v>1176.9000000000001</v>
      </c>
      <c r="J22" t="str">
        <f t="shared" si="0"/>
        <v>_dolphin_2_8_mistral_7b_v02_Q8_0_pairs</v>
      </c>
      <c r="K22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</v>
      </c>
    </row>
    <row r="23" spans="1:11" x14ac:dyDescent="0.35">
      <c r="A23" t="s">
        <v>31</v>
      </c>
      <c r="B23" t="s">
        <v>10</v>
      </c>
      <c r="C23">
        <v>-0.58899999999999997</v>
      </c>
      <c r="D23">
        <v>-0.68300000000000005</v>
      </c>
      <c r="E23">
        <v>-0.47899999999999998</v>
      </c>
      <c r="F23">
        <v>-1.37417532521029E-3</v>
      </c>
      <c r="G23">
        <v>-2.0099999999999998</v>
      </c>
      <c r="H23">
        <v>0</v>
      </c>
      <c r="I23">
        <v>1163.5</v>
      </c>
      <c r="J23" t="str">
        <f t="shared" si="0"/>
        <v>_dolphin_2_8_mistral_7b_v02_Q8_0_pairs_names_Upper</v>
      </c>
      <c r="K23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</v>
      </c>
    </row>
    <row r="24" spans="1:11" x14ac:dyDescent="0.35">
      <c r="A24" t="s">
        <v>32</v>
      </c>
      <c r="B24" t="s">
        <v>10</v>
      </c>
      <c r="C24">
        <v>-0.307</v>
      </c>
      <c r="D24">
        <v>-0.496</v>
      </c>
      <c r="E24">
        <v>-0.106</v>
      </c>
      <c r="F24">
        <v>1.83752282233146E-2</v>
      </c>
      <c r="G24">
        <v>-0.57999999999999996</v>
      </c>
      <c r="H24">
        <v>0.57699999999999996</v>
      </c>
      <c r="I24">
        <v>1182.4000000000001</v>
      </c>
      <c r="J24" t="str">
        <f t="shared" si="0"/>
        <v>_Hermes_3_Llama_3_1_70B_Q5_K_M_pairs</v>
      </c>
      <c r="K24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</v>
      </c>
    </row>
    <row r="25" spans="1:11" x14ac:dyDescent="0.35">
      <c r="A25" t="s">
        <v>33</v>
      </c>
      <c r="B25" t="s">
        <v>10</v>
      </c>
      <c r="C25">
        <v>-0.60699999999999998</v>
      </c>
      <c r="D25">
        <v>-0.69</v>
      </c>
      <c r="E25">
        <v>-0.495</v>
      </c>
      <c r="F25">
        <v>1.62620671192746E-3</v>
      </c>
      <c r="G25">
        <v>-2.4</v>
      </c>
      <c r="H25">
        <v>0</v>
      </c>
      <c r="I25">
        <v>1160.4000000000001</v>
      </c>
      <c r="J25" t="str">
        <f t="shared" si="0"/>
        <v>_Hermes_3_Llama_3_1_70B_Q5_K_M_pairs_names_Upper</v>
      </c>
      <c r="K25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</v>
      </c>
    </row>
    <row r="26" spans="1:11" x14ac:dyDescent="0.35">
      <c r="A26" t="s">
        <v>34</v>
      </c>
      <c r="B26" t="s">
        <v>10</v>
      </c>
      <c r="C26">
        <v>-0.4</v>
      </c>
      <c r="D26">
        <v>-0.53100000000000003</v>
      </c>
      <c r="E26">
        <v>-0.21199999999999999</v>
      </c>
      <c r="F26">
        <v>4.5944584473546204E-3</v>
      </c>
      <c r="G26">
        <v>-3.09</v>
      </c>
      <c r="H26">
        <v>0.222</v>
      </c>
      <c r="I26">
        <v>1181.2</v>
      </c>
      <c r="J26" t="str">
        <f t="shared" si="0"/>
        <v>_llama_2_13b_Q8_0_pairs</v>
      </c>
      <c r="K26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</v>
      </c>
    </row>
    <row r="27" spans="1:11" x14ac:dyDescent="0.35">
      <c r="A27" t="s">
        <v>35</v>
      </c>
      <c r="B27" t="s">
        <v>10</v>
      </c>
      <c r="C27">
        <v>-0.496</v>
      </c>
      <c r="D27">
        <v>-0.61099999999999999</v>
      </c>
      <c r="E27">
        <v>-0.34100000000000003</v>
      </c>
      <c r="F27">
        <v>5.3547802241836499E-3</v>
      </c>
      <c r="G27">
        <v>-5.46</v>
      </c>
      <c r="H27">
        <v>1.9E-2</v>
      </c>
      <c r="I27">
        <v>1176.8</v>
      </c>
      <c r="J27" t="str">
        <f t="shared" si="0"/>
        <v>_llama_2_13b_Q8_0_pairs_names_Upper</v>
      </c>
      <c r="K27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</v>
      </c>
    </row>
    <row r="28" spans="1:11" x14ac:dyDescent="0.35">
      <c r="A28" t="s">
        <v>36</v>
      </c>
      <c r="B28" t="s">
        <v>10</v>
      </c>
      <c r="C28">
        <v>-0.33500000000000002</v>
      </c>
      <c r="D28">
        <v>-0.51</v>
      </c>
      <c r="E28">
        <v>-0.16200000000000001</v>
      </c>
      <c r="F28">
        <v>7.4464036794611402E-2</v>
      </c>
      <c r="G28">
        <v>-1.58</v>
      </c>
      <c r="H28">
        <v>6.0999999999999999E-2</v>
      </c>
      <c r="I28">
        <v>1179</v>
      </c>
      <c r="J28" t="str">
        <f t="shared" si="0"/>
        <v>_llama_2_70b_Q5_0_pairs</v>
      </c>
      <c r="K28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</v>
      </c>
    </row>
    <row r="29" spans="1:11" x14ac:dyDescent="0.35">
      <c r="A29" t="s">
        <v>37</v>
      </c>
      <c r="B29" t="s">
        <v>10</v>
      </c>
      <c r="C29">
        <v>-0.51900000000000002</v>
      </c>
      <c r="D29">
        <v>-0.629</v>
      </c>
      <c r="E29">
        <v>-0.41299999999999998</v>
      </c>
      <c r="F29">
        <v>5.3389246476976501E-2</v>
      </c>
      <c r="G29">
        <v>-2.41</v>
      </c>
      <c r="H29">
        <v>1E-3</v>
      </c>
      <c r="I29">
        <v>1169.9000000000001</v>
      </c>
      <c r="J29" t="str">
        <f t="shared" si="0"/>
        <v>_llama_2_70b_Q5_0_pairs_names_Upper</v>
      </c>
      <c r="K29" t="str">
        <f>K28&amp;""""&amp; J29 &amp;""","</f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</v>
      </c>
    </row>
    <row r="30" spans="1:11" x14ac:dyDescent="0.35">
      <c r="A30" t="s">
        <v>38</v>
      </c>
      <c r="B30" t="s">
        <v>10</v>
      </c>
      <c r="C30">
        <v>-0.52800000000000002</v>
      </c>
      <c r="D30">
        <v>-0.64600000000000002</v>
      </c>
      <c r="E30">
        <v>-0.379</v>
      </c>
      <c r="F30">
        <v>4.9336920949126499E-2</v>
      </c>
      <c r="G30">
        <v>-3.47</v>
      </c>
      <c r="H30">
        <v>1E-3</v>
      </c>
      <c r="I30">
        <v>1171.5</v>
      </c>
      <c r="J30" t="str">
        <f t="shared" si="0"/>
        <v>_llama_2_7b_Q8_0_pairs</v>
      </c>
      <c r="K30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</v>
      </c>
    </row>
    <row r="31" spans="1:11" x14ac:dyDescent="0.35">
      <c r="A31" t="s">
        <v>39</v>
      </c>
      <c r="B31" t="s">
        <v>10</v>
      </c>
      <c r="C31">
        <v>-0.54100000000000004</v>
      </c>
      <c r="D31">
        <v>-0.65200000000000002</v>
      </c>
      <c r="E31">
        <v>-0.40899999999999997</v>
      </c>
      <c r="F31">
        <v>4.0899325787348902E-2</v>
      </c>
      <c r="G31">
        <v>-3.4</v>
      </c>
      <c r="H31">
        <v>1E-3</v>
      </c>
      <c r="I31">
        <v>1169.9000000000001</v>
      </c>
      <c r="J31" t="str">
        <f t="shared" si="0"/>
        <v>_llama_2_7b_Q8_0_pairs_names_Upper</v>
      </c>
      <c r="K31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</v>
      </c>
    </row>
    <row r="32" spans="1:11" x14ac:dyDescent="0.35">
      <c r="A32" t="s">
        <v>40</v>
      </c>
      <c r="B32" t="s">
        <v>10</v>
      </c>
      <c r="C32">
        <v>-0.26400000000000001</v>
      </c>
      <c r="D32">
        <v>-0.47</v>
      </c>
      <c r="E32">
        <v>-3.4000000000000002E-2</v>
      </c>
      <c r="F32">
        <v>1.9893884753841101E-2</v>
      </c>
      <c r="G32">
        <v>-0.21</v>
      </c>
      <c r="H32">
        <v>0.84899999999999998</v>
      </c>
      <c r="I32">
        <v>1182.7</v>
      </c>
      <c r="J32" t="str">
        <f t="shared" si="0"/>
        <v>_llama_30b_Q8_0_pairs</v>
      </c>
      <c r="K32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</v>
      </c>
    </row>
    <row r="33" spans="1:11" x14ac:dyDescent="0.35">
      <c r="A33" t="s">
        <v>41</v>
      </c>
      <c r="B33" t="s">
        <v>10</v>
      </c>
      <c r="C33">
        <v>-0.35399999999999998</v>
      </c>
      <c r="D33">
        <v>-0.53100000000000003</v>
      </c>
      <c r="E33">
        <v>-0.17799999999999999</v>
      </c>
      <c r="F33">
        <v>1.4140757167308501E-2</v>
      </c>
      <c r="G33">
        <v>-1.01</v>
      </c>
      <c r="H33">
        <v>0.30599999999999999</v>
      </c>
      <c r="I33">
        <v>1181.5999999999999</v>
      </c>
      <c r="J33" t="str">
        <f t="shared" si="0"/>
        <v>_llama_30b_Q8_0_pairs_names_Upper</v>
      </c>
      <c r="K33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</v>
      </c>
    </row>
    <row r="34" spans="1:11" x14ac:dyDescent="0.35">
      <c r="A34" t="s">
        <v>42</v>
      </c>
      <c r="B34" t="s">
        <v>10</v>
      </c>
      <c r="C34">
        <v>-0.45400000000000001</v>
      </c>
      <c r="D34">
        <v>-0.58799999999999997</v>
      </c>
      <c r="E34">
        <v>-0.318</v>
      </c>
      <c r="F34">
        <v>6.0651339961893001E-2</v>
      </c>
      <c r="G34">
        <v>-2.42</v>
      </c>
      <c r="H34">
        <v>0.02</v>
      </c>
      <c r="I34">
        <v>1177</v>
      </c>
      <c r="J34" t="str">
        <f t="shared" si="0"/>
        <v>_llama_65b_Q5_0_pairs</v>
      </c>
      <c r="K34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</v>
      </c>
    </row>
    <row r="35" spans="1:11" x14ac:dyDescent="0.35">
      <c r="A35" t="s">
        <v>43</v>
      </c>
      <c r="B35" t="s">
        <v>10</v>
      </c>
      <c r="C35">
        <v>-0.55300000000000005</v>
      </c>
      <c r="D35">
        <v>-0.65800000000000003</v>
      </c>
      <c r="E35">
        <v>-0.43099999999999999</v>
      </c>
      <c r="F35">
        <v>6.0247622328759201E-2</v>
      </c>
      <c r="G35">
        <v>-2.9</v>
      </c>
      <c r="H35">
        <v>0</v>
      </c>
      <c r="I35">
        <v>1168.5</v>
      </c>
      <c r="J35" t="str">
        <f t="shared" si="0"/>
        <v>_llama_65b_Q5_0_pairs_names_Upper</v>
      </c>
      <c r="K35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</v>
      </c>
    </row>
    <row r="36" spans="1:11" x14ac:dyDescent="0.35">
      <c r="A36" t="s">
        <v>44</v>
      </c>
      <c r="B36" t="s">
        <v>10</v>
      </c>
      <c r="C36">
        <v>-0.51500000000000001</v>
      </c>
      <c r="D36">
        <v>-0.625</v>
      </c>
      <c r="E36">
        <v>-0.38</v>
      </c>
      <c r="F36">
        <v>1.8832201700312199E-3</v>
      </c>
      <c r="G36">
        <v>-3.21</v>
      </c>
      <c r="H36">
        <v>5.0000000000000001E-3</v>
      </c>
      <c r="I36">
        <v>1174.0999999999999</v>
      </c>
      <c r="J36" t="str">
        <f t="shared" si="0"/>
        <v>_llama_7b_Q8_0_pairs</v>
      </c>
      <c r="K36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</v>
      </c>
    </row>
    <row r="37" spans="1:11" x14ac:dyDescent="0.35">
      <c r="A37" t="s">
        <v>45</v>
      </c>
      <c r="B37" t="s">
        <v>10</v>
      </c>
      <c r="C37">
        <v>-0.49299999999999999</v>
      </c>
      <c r="D37">
        <v>-0.60099999999999998</v>
      </c>
      <c r="E37">
        <v>-0.376</v>
      </c>
      <c r="F37">
        <v>4.7379297599151804E-3</v>
      </c>
      <c r="G37">
        <v>-3.05</v>
      </c>
      <c r="H37">
        <v>8.9999999999999993E-3</v>
      </c>
      <c r="I37">
        <v>1175.5</v>
      </c>
      <c r="J37" t="str">
        <f t="shared" si="0"/>
        <v>_llama_7b_Q8_0_pairs_names_Upper</v>
      </c>
      <c r="K37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</v>
      </c>
    </row>
    <row r="38" spans="1:11" x14ac:dyDescent="0.35">
      <c r="A38" t="s">
        <v>46</v>
      </c>
      <c r="B38" t="s">
        <v>10</v>
      </c>
      <c r="C38">
        <v>5.3999999999999999E-2</v>
      </c>
      <c r="D38">
        <v>-0.14199999999999999</v>
      </c>
      <c r="E38">
        <v>0.26100000000000001</v>
      </c>
      <c r="F38">
        <v>4.02684001603709E-2</v>
      </c>
      <c r="G38">
        <v>1.9</v>
      </c>
      <c r="H38">
        <v>7.3999999999999996E-2</v>
      </c>
      <c r="I38">
        <v>1179.3</v>
      </c>
      <c r="J38" t="str">
        <f t="shared" si="0"/>
        <v>_Meta_Llama_3_1_70B_Q5_K_M_pairs</v>
      </c>
      <c r="K38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</v>
      </c>
    </row>
    <row r="39" spans="1:11" x14ac:dyDescent="0.35">
      <c r="A39" t="s">
        <v>47</v>
      </c>
      <c r="B39" t="s">
        <v>10</v>
      </c>
      <c r="C39">
        <v>-0.59299999999999997</v>
      </c>
      <c r="D39">
        <v>-0.69299999999999995</v>
      </c>
      <c r="E39">
        <v>-0.48099999999999998</v>
      </c>
      <c r="F39">
        <v>5.5387412259137797E-3</v>
      </c>
      <c r="G39">
        <v>-2.19</v>
      </c>
      <c r="H39">
        <v>0</v>
      </c>
      <c r="I39">
        <v>1163.7</v>
      </c>
      <c r="J39" t="str">
        <f t="shared" si="0"/>
        <v>_Meta_Llama_3_1_70B_Q5_K_M_pairs_names_Upper</v>
      </c>
      <c r="K39" t="str">
        <f>K38&amp;""""&amp; J39 &amp;""","</f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</v>
      </c>
    </row>
    <row r="40" spans="1:11" x14ac:dyDescent="0.35">
      <c r="A40" t="s">
        <v>48</v>
      </c>
      <c r="B40" t="s">
        <v>10</v>
      </c>
      <c r="C40">
        <v>1.4999999999999999E-2</v>
      </c>
      <c r="D40">
        <v>-0.20499999999999999</v>
      </c>
      <c r="E40">
        <v>0.22800000000000001</v>
      </c>
      <c r="F40">
        <v>3.4175023309802197E-2</v>
      </c>
      <c r="G40">
        <v>1.76</v>
      </c>
      <c r="H40">
        <v>8.4000000000000005E-2</v>
      </c>
      <c r="I40">
        <v>1179.5999999999999</v>
      </c>
      <c r="J40" t="str">
        <f t="shared" si="0"/>
        <v>_meta_llama_3_1_8b_q8_0_pairs</v>
      </c>
      <c r="K40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</v>
      </c>
    </row>
    <row r="41" spans="1:11" x14ac:dyDescent="0.35">
      <c r="A41" t="s">
        <v>49</v>
      </c>
      <c r="B41" t="s">
        <v>10</v>
      </c>
      <c r="C41">
        <v>-0.49</v>
      </c>
      <c r="D41">
        <v>-0.627</v>
      </c>
      <c r="E41">
        <v>-0.33900000000000002</v>
      </c>
      <c r="F41">
        <v>7.0363847785626498E-3</v>
      </c>
      <c r="G41">
        <v>-2.34</v>
      </c>
      <c r="H41">
        <v>8.9999999999999993E-3</v>
      </c>
      <c r="I41">
        <v>1175.4000000000001</v>
      </c>
      <c r="J41" t="str">
        <f t="shared" si="0"/>
        <v>_meta_llama_3_1_8b_q8_0_pairs_names_Upper</v>
      </c>
      <c r="K41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</v>
      </c>
    </row>
    <row r="42" spans="1:11" x14ac:dyDescent="0.35">
      <c r="A42" t="s">
        <v>50</v>
      </c>
      <c r="B42" t="s">
        <v>10</v>
      </c>
      <c r="C42">
        <v>-0.42</v>
      </c>
      <c r="D42">
        <v>-0.51900000000000002</v>
      </c>
      <c r="E42">
        <v>-0.29799999999999999</v>
      </c>
      <c r="F42">
        <v>-1.4419443502620901E-3</v>
      </c>
      <c r="G42">
        <v>-1.19</v>
      </c>
      <c r="H42">
        <v>1.4E-2</v>
      </c>
      <c r="I42">
        <v>1176.2</v>
      </c>
      <c r="J42" t="str">
        <f t="shared" si="0"/>
        <v>_mistral_7b_v0_1_Q8_0_pairs</v>
      </c>
      <c r="K42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</v>
      </c>
    </row>
    <row r="43" spans="1:11" x14ac:dyDescent="0.35">
      <c r="A43" t="s">
        <v>51</v>
      </c>
      <c r="B43" t="s">
        <v>10</v>
      </c>
      <c r="C43">
        <v>-0.60599999999999998</v>
      </c>
      <c r="D43">
        <v>-0.69199999999999995</v>
      </c>
      <c r="E43">
        <v>-0.48499999999999999</v>
      </c>
      <c r="F43">
        <v>3.9007232578847401E-3</v>
      </c>
      <c r="G43">
        <v>-1.97</v>
      </c>
      <c r="H43">
        <v>0</v>
      </c>
      <c r="I43">
        <v>1160.7</v>
      </c>
      <c r="J43" t="str">
        <f t="shared" si="0"/>
        <v>_mistral_7b_v0_1_Q8_0_pairs_names_Upper</v>
      </c>
      <c r="K43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</v>
      </c>
    </row>
    <row r="44" spans="1:11" x14ac:dyDescent="0.35">
      <c r="A44" t="s">
        <v>52</v>
      </c>
      <c r="B44" t="s">
        <v>10</v>
      </c>
      <c r="C44">
        <v>-0.376</v>
      </c>
      <c r="D44">
        <v>-0.50700000000000001</v>
      </c>
      <c r="E44">
        <v>-0.247</v>
      </c>
      <c r="F44">
        <v>-1.2211271607241799E-2</v>
      </c>
      <c r="G44">
        <v>-0.99</v>
      </c>
      <c r="H44">
        <v>6.4000000000000001E-2</v>
      </c>
      <c r="I44">
        <v>1179.0999999999999</v>
      </c>
      <c r="J44" t="str">
        <f t="shared" si="0"/>
        <v>_Mistral_7B_v0_3_Q8_0_pairs</v>
      </c>
      <c r="K44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</v>
      </c>
    </row>
    <row r="45" spans="1:11" x14ac:dyDescent="0.35">
      <c r="A45" t="s">
        <v>53</v>
      </c>
      <c r="B45" t="s">
        <v>10</v>
      </c>
      <c r="C45">
        <v>-0.58099999999999996</v>
      </c>
      <c r="D45">
        <v>-0.69299999999999995</v>
      </c>
      <c r="E45">
        <v>-0.47099999999999997</v>
      </c>
      <c r="F45">
        <v>-5.2398907750966697E-3</v>
      </c>
      <c r="G45">
        <v>-1.89</v>
      </c>
      <c r="H45">
        <v>0</v>
      </c>
      <c r="I45">
        <v>1165</v>
      </c>
      <c r="J45" t="str">
        <f t="shared" si="0"/>
        <v>_Mistral_7B_v0_3_Q8_0_pairs_names_Upper</v>
      </c>
      <c r="K45" t="str">
        <f t="shared" si="1"/>
        <v>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"_dolphin_2_8_mistral_7b_v02_Q8_0_pairs","_dolphin_2_8_mistral_7b_v02_Q8_0_pairs_names_Upper","_Hermes_3_Llama_3_1_70B_Q5_K_M_pairs","_Hermes_3_Llama_3_1_70B_Q5_K_M_pairs_names_Upper","_llama_2_13b_Q8_0_pairs","_llama_2_13b_Q8_0_pairs_names_Upper","_llama_2_70b_Q5_0_pairs","_llama_2_70b_Q5_0_pairs_names_Upper","_llama_2_7b_Q8_0_pairs","_llama_2_7b_Q8_0_pairs_names_Upper","_llama_30b_Q8_0_pairs","_llama_30b_Q8_0_pairs_names_Upper","_llama_65b_Q5_0_pairs","_llama_65b_Q5_0_pairs_names_Upper","_llama_7b_Q8_0_pairs","_llama_7b_Q8_0_pairs_names_Upper","_Meta_Llama_3_1_70B_Q5_K_M_pairs","_Meta_Llama_3_1_70B_Q5_K_M_pairs_names_Upper","_meta_llama_3_1_8b_q8_0_pairs","_meta_llama_3_1_8b_q8_0_pairs_names_Upper","_mistral_7b_v0_1_Q8_0_pairs","_mistral_7b_v0_1_Q8_0_pairs_names_Upper","_Mistral_7B_v0_3_Q8_0_pairs","_Mistral_7B_v0_3_Q8_0_pairs_names_Upper",</v>
      </c>
    </row>
    <row r="46" spans="1:11" s="2" customFormat="1" x14ac:dyDescent="0.35">
      <c r="A46" s="2" t="s">
        <v>54</v>
      </c>
      <c r="B46" s="2" t="s">
        <v>10</v>
      </c>
      <c r="C46" s="2">
        <v>-0.28299999999999997</v>
      </c>
      <c r="D46" s="2">
        <v>-0.45800000000000002</v>
      </c>
      <c r="E46" s="2">
        <v>-9.5000000000000001E-2</v>
      </c>
      <c r="F46" s="2">
        <v>-4.7841224057336901E-2</v>
      </c>
      <c r="G46" s="2">
        <v>-146.08000000000001</v>
      </c>
      <c r="H46" s="2">
        <v>0.26</v>
      </c>
      <c r="I46" s="2">
        <v>1181.4000000000001</v>
      </c>
    </row>
    <row r="47" spans="1:11" x14ac:dyDescent="0.35">
      <c r="A47" t="s">
        <v>55</v>
      </c>
      <c r="B47" t="s">
        <v>10</v>
      </c>
      <c r="C47">
        <v>-0.28699999999999998</v>
      </c>
      <c r="D47">
        <v>-0.434</v>
      </c>
      <c r="E47">
        <v>-0.124</v>
      </c>
      <c r="F47">
        <v>-4.8156044827356199E-2</v>
      </c>
      <c r="G47">
        <v>-148.6</v>
      </c>
      <c r="H47">
        <v>0.254</v>
      </c>
      <c r="I47">
        <v>1181.4000000000001</v>
      </c>
    </row>
    <row r="48" spans="1:11" x14ac:dyDescent="0.35">
      <c r="A48" t="s">
        <v>56</v>
      </c>
      <c r="B48" t="s">
        <v>10</v>
      </c>
      <c r="C48">
        <v>-0.21</v>
      </c>
      <c r="D48">
        <v>-0.40400000000000003</v>
      </c>
      <c r="E48">
        <v>-2.1999999999999999E-2</v>
      </c>
      <c r="F48">
        <v>-4.12384990143565E-2</v>
      </c>
      <c r="G48">
        <v>-21.89</v>
      </c>
      <c r="H48">
        <v>0.36499999999999999</v>
      </c>
      <c r="I48">
        <v>1181.9000000000001</v>
      </c>
    </row>
    <row r="49" spans="1:9" x14ac:dyDescent="0.35">
      <c r="A49" t="s">
        <v>57</v>
      </c>
      <c r="B49" t="s">
        <v>58</v>
      </c>
      <c r="C49">
        <v>9.1999999999999998E-2</v>
      </c>
      <c r="D49">
        <v>-0.20100000000000001</v>
      </c>
      <c r="E49">
        <v>0.307</v>
      </c>
      <c r="F49">
        <v>2.7121445486566299E-2</v>
      </c>
      <c r="G49">
        <v>44960.34</v>
      </c>
      <c r="H49">
        <v>8.4000000000000005E-2</v>
      </c>
      <c r="I49">
        <v>1178.9000000000001</v>
      </c>
    </row>
    <row r="50" spans="1:9" x14ac:dyDescent="0.35">
      <c r="A50" t="s">
        <v>59</v>
      </c>
      <c r="B50" t="s">
        <v>58</v>
      </c>
      <c r="C50">
        <v>-0.49199999999999999</v>
      </c>
      <c r="D50">
        <v>-0.61899999999999999</v>
      </c>
      <c r="E50">
        <v>-0.32200000000000001</v>
      </c>
      <c r="F50">
        <v>0.109691763600968</v>
      </c>
      <c r="G50">
        <v>-186150.18</v>
      </c>
      <c r="H50">
        <v>4.0000000000000001E-3</v>
      </c>
      <c r="I50">
        <v>1173.4000000000001</v>
      </c>
    </row>
    <row r="51" spans="1:9" x14ac:dyDescent="0.35">
      <c r="A51" t="s">
        <v>60</v>
      </c>
      <c r="B51" t="s">
        <v>58</v>
      </c>
      <c r="C51">
        <v>-0.28399999999999997</v>
      </c>
      <c r="D51">
        <v>-0.51</v>
      </c>
      <c r="E51">
        <v>-2.3E-2</v>
      </c>
      <c r="F51">
        <v>0.101163140302284</v>
      </c>
      <c r="G51">
        <v>-49911.13</v>
      </c>
      <c r="H51">
        <v>0.41399999999999998</v>
      </c>
      <c r="I51">
        <v>1181.4000000000001</v>
      </c>
    </row>
    <row r="52" spans="1:9" x14ac:dyDescent="0.35">
      <c r="A52" t="s">
        <v>61</v>
      </c>
      <c r="B52" t="s">
        <v>58</v>
      </c>
      <c r="C52">
        <v>-0.41699999999999998</v>
      </c>
      <c r="D52">
        <v>-0.61099999999999999</v>
      </c>
      <c r="E52">
        <v>-0.188</v>
      </c>
      <c r="F52">
        <v>0.117103834692769</v>
      </c>
      <c r="G52">
        <v>-140002.26999999999</v>
      </c>
      <c r="H52">
        <v>0.04</v>
      </c>
      <c r="I52">
        <v>1177.5999999999999</v>
      </c>
    </row>
    <row r="53" spans="1:9" x14ac:dyDescent="0.35">
      <c r="A53" t="s">
        <v>62</v>
      </c>
      <c r="B53" t="s">
        <v>58</v>
      </c>
      <c r="C53">
        <v>0.185</v>
      </c>
      <c r="D53">
        <v>0.01</v>
      </c>
      <c r="E53">
        <v>0.34300000000000003</v>
      </c>
      <c r="F53">
        <v>3.9157517227241603E-2</v>
      </c>
      <c r="G53">
        <v>-3.18</v>
      </c>
      <c r="H53">
        <v>0.876</v>
      </c>
      <c r="I53">
        <v>1182.0999999999999</v>
      </c>
    </row>
    <row r="54" spans="1:9" x14ac:dyDescent="0.35">
      <c r="A54" t="s">
        <v>63</v>
      </c>
      <c r="B54" t="s">
        <v>58</v>
      </c>
      <c r="C54">
        <v>8.7999999999999995E-2</v>
      </c>
      <c r="D54">
        <v>-6.4000000000000001E-2</v>
      </c>
      <c r="E54">
        <v>0.219</v>
      </c>
      <c r="F54">
        <v>-1.6809304944803E-2</v>
      </c>
      <c r="G54">
        <v>-26.37</v>
      </c>
      <c r="H54">
        <v>0.33500000000000002</v>
      </c>
      <c r="I54">
        <v>1181.0999999999999</v>
      </c>
    </row>
    <row r="55" spans="1:9" x14ac:dyDescent="0.35">
      <c r="A55" t="s">
        <v>64</v>
      </c>
      <c r="B55" t="s">
        <v>58</v>
      </c>
      <c r="C55">
        <v>8.7999999999999995E-2</v>
      </c>
      <c r="D55">
        <v>-0.1</v>
      </c>
      <c r="E55">
        <v>0.25800000000000001</v>
      </c>
      <c r="F55">
        <v>2.5916611563632799E-2</v>
      </c>
      <c r="G55">
        <v>-21.76</v>
      </c>
      <c r="H55">
        <v>0.35799999999999998</v>
      </c>
      <c r="I55">
        <v>1181.2</v>
      </c>
    </row>
    <row r="56" spans="1:9" x14ac:dyDescent="0.35">
      <c r="A56" t="s">
        <v>65</v>
      </c>
      <c r="B56" t="s">
        <v>58</v>
      </c>
      <c r="C56">
        <v>0.105</v>
      </c>
      <c r="D56">
        <v>-4.7E-2</v>
      </c>
      <c r="E56">
        <v>0.28699999999999998</v>
      </c>
      <c r="F56">
        <v>-7.0984623262503304E-3</v>
      </c>
      <c r="G56">
        <v>-19.7</v>
      </c>
      <c r="H56">
        <v>0.44400000000000001</v>
      </c>
      <c r="I56">
        <v>1181.5</v>
      </c>
    </row>
    <row r="57" spans="1:9" x14ac:dyDescent="0.35">
      <c r="A57" t="s">
        <v>66</v>
      </c>
      <c r="B57" t="s">
        <v>58</v>
      </c>
      <c r="C57">
        <v>8.2000000000000003E-2</v>
      </c>
      <c r="D57">
        <v>-0.13300000000000001</v>
      </c>
      <c r="E57">
        <v>0.27700000000000002</v>
      </c>
      <c r="F57">
        <v>5.6338342905396299E-2</v>
      </c>
      <c r="G57">
        <v>10.47</v>
      </c>
      <c r="H57">
        <v>0.113</v>
      </c>
      <c r="I57">
        <v>1179.4000000000001</v>
      </c>
    </row>
    <row r="58" spans="1:9" x14ac:dyDescent="0.35">
      <c r="A58" t="s">
        <v>67</v>
      </c>
      <c r="B58" t="s">
        <v>58</v>
      </c>
      <c r="C58">
        <v>-5.1999999999999998E-2</v>
      </c>
      <c r="D58">
        <v>-0.26400000000000001</v>
      </c>
      <c r="E58">
        <v>0.14099999999999999</v>
      </c>
      <c r="F58">
        <v>-2.8469001517785801E-2</v>
      </c>
      <c r="G58">
        <v>19.84</v>
      </c>
      <c r="H58">
        <v>3.6999999999999998E-2</v>
      </c>
      <c r="I58">
        <v>1177.4000000000001</v>
      </c>
    </row>
    <row r="59" spans="1:9" x14ac:dyDescent="0.35">
      <c r="A59" t="s">
        <v>68</v>
      </c>
      <c r="B59" t="s">
        <v>58</v>
      </c>
      <c r="C59">
        <v>-3.9E-2</v>
      </c>
      <c r="D59">
        <v>-0.252</v>
      </c>
      <c r="E59">
        <v>0.17299999999999999</v>
      </c>
      <c r="F59">
        <v>3.3714972254369598E-2</v>
      </c>
      <c r="G59">
        <v>11.31</v>
      </c>
      <c r="H59">
        <v>0.122</v>
      </c>
      <c r="I59">
        <v>1179.5999999999999</v>
      </c>
    </row>
    <row r="60" spans="1:9" x14ac:dyDescent="0.35">
      <c r="A60" t="s">
        <v>69</v>
      </c>
      <c r="B60" t="s">
        <v>58</v>
      </c>
      <c r="C60">
        <v>-2.1000000000000001E-2</v>
      </c>
      <c r="D60">
        <v>-0.214</v>
      </c>
      <c r="E60">
        <v>0.16600000000000001</v>
      </c>
      <c r="F60">
        <v>-1.2637953643886E-2</v>
      </c>
      <c r="G60">
        <v>17.12</v>
      </c>
      <c r="H60">
        <v>4.2000000000000003E-2</v>
      </c>
      <c r="I60">
        <v>1177.7</v>
      </c>
    </row>
    <row r="61" spans="1:9" x14ac:dyDescent="0.35">
      <c r="A61" t="s">
        <v>70</v>
      </c>
      <c r="B61" t="s">
        <v>58</v>
      </c>
      <c r="C61">
        <v>0.246</v>
      </c>
      <c r="D61">
        <v>9.0999999999999998E-2</v>
      </c>
      <c r="E61">
        <v>0.38100000000000001</v>
      </c>
      <c r="F61">
        <v>-8.8868208651514194E-3</v>
      </c>
      <c r="G61">
        <v>22.82</v>
      </c>
      <c r="H61">
        <v>2.1000000000000001E-2</v>
      </c>
      <c r="I61">
        <v>1176.4000000000001</v>
      </c>
    </row>
    <row r="62" spans="1:9" x14ac:dyDescent="0.35">
      <c r="A62" t="s">
        <v>71</v>
      </c>
      <c r="B62" t="s">
        <v>58</v>
      </c>
      <c r="C62">
        <v>4.7E-2</v>
      </c>
      <c r="D62">
        <v>-0.17699999999999999</v>
      </c>
      <c r="E62">
        <v>0.26900000000000002</v>
      </c>
      <c r="F62">
        <v>1.0423110288628999E-3</v>
      </c>
      <c r="G62">
        <v>31.09</v>
      </c>
      <c r="H62">
        <v>6.9000000000000006E-2</v>
      </c>
      <c r="I62">
        <v>1178.5999999999999</v>
      </c>
    </row>
    <row r="63" spans="1:9" x14ac:dyDescent="0.35">
      <c r="A63" t="s">
        <v>72</v>
      </c>
      <c r="B63" t="s">
        <v>58</v>
      </c>
      <c r="C63">
        <v>0.17399999999999999</v>
      </c>
      <c r="D63">
        <v>-0.06</v>
      </c>
      <c r="E63">
        <v>0.36699999999999999</v>
      </c>
      <c r="F63">
        <v>-6.4192314476255001E-3</v>
      </c>
      <c r="G63">
        <v>34.35</v>
      </c>
      <c r="H63">
        <v>1.0999999999999999E-2</v>
      </c>
      <c r="I63">
        <v>1175.2</v>
      </c>
    </row>
    <row r="64" spans="1:9" x14ac:dyDescent="0.35">
      <c r="A64" t="s">
        <v>73</v>
      </c>
      <c r="B64" t="s">
        <v>58</v>
      </c>
      <c r="C64">
        <v>0.114</v>
      </c>
      <c r="D64">
        <v>-7.8E-2</v>
      </c>
      <c r="E64">
        <v>0.31</v>
      </c>
      <c r="F64">
        <v>6.8901443405642998E-3</v>
      </c>
      <c r="G64">
        <v>31.52</v>
      </c>
      <c r="H64">
        <v>3.6999999999999998E-2</v>
      </c>
      <c r="I64">
        <v>1177.5</v>
      </c>
    </row>
    <row r="65" spans="1:9" x14ac:dyDescent="0.35">
      <c r="A65" t="s">
        <v>74</v>
      </c>
      <c r="B65" t="s">
        <v>58</v>
      </c>
      <c r="C65">
        <v>0.19900000000000001</v>
      </c>
      <c r="D65">
        <v>4.3999999999999997E-2</v>
      </c>
      <c r="E65">
        <v>0.35099999999999998</v>
      </c>
      <c r="F65">
        <v>1.29435706301165E-3</v>
      </c>
      <c r="G65">
        <v>3.05</v>
      </c>
      <c r="H65">
        <v>1.9E-2</v>
      </c>
      <c r="I65">
        <v>1176.2</v>
      </c>
    </row>
    <row r="66" spans="1:9" x14ac:dyDescent="0.35">
      <c r="A66" t="s">
        <v>75</v>
      </c>
      <c r="B66" t="s">
        <v>58</v>
      </c>
      <c r="C66">
        <v>7.9000000000000001E-2</v>
      </c>
      <c r="D66">
        <v>-0.16300000000000001</v>
      </c>
      <c r="E66">
        <v>0.308</v>
      </c>
      <c r="F66">
        <v>5.1751065867056498E-3</v>
      </c>
      <c r="G66">
        <v>21.05</v>
      </c>
      <c r="H66">
        <v>2.1000000000000001E-2</v>
      </c>
      <c r="I66">
        <v>1176.4000000000001</v>
      </c>
    </row>
    <row r="67" spans="1:9" x14ac:dyDescent="0.35">
      <c r="A67" t="s">
        <v>76</v>
      </c>
      <c r="B67" t="s">
        <v>58</v>
      </c>
      <c r="C67">
        <v>0.154</v>
      </c>
      <c r="D67">
        <v>-4.9000000000000002E-2</v>
      </c>
      <c r="E67">
        <v>0.34200000000000003</v>
      </c>
      <c r="F67">
        <v>1.7811353652993502E-2</v>
      </c>
      <c r="G67">
        <v>8.15</v>
      </c>
      <c r="H67">
        <v>2.5999999999999999E-2</v>
      </c>
      <c r="I67">
        <v>1176.8</v>
      </c>
    </row>
    <row r="68" spans="1:9" x14ac:dyDescent="0.35">
      <c r="A68" t="s">
        <v>77</v>
      </c>
      <c r="B68" t="s">
        <v>58</v>
      </c>
      <c r="C68">
        <v>0.13400000000000001</v>
      </c>
      <c r="D68">
        <v>-7.3999999999999996E-2</v>
      </c>
      <c r="E68">
        <v>0.30299999999999999</v>
      </c>
      <c r="F68">
        <v>1.22009302409328E-2</v>
      </c>
      <c r="G68">
        <v>13.09</v>
      </c>
      <c r="H68">
        <v>2.1999999999999999E-2</v>
      </c>
      <c r="I68">
        <v>1176.5</v>
      </c>
    </row>
    <row r="69" spans="1:9" x14ac:dyDescent="0.35">
      <c r="A69" t="s">
        <v>78</v>
      </c>
      <c r="B69" t="s">
        <v>58</v>
      </c>
      <c r="C69">
        <v>-6.7000000000000004E-2</v>
      </c>
      <c r="D69">
        <v>-0.224</v>
      </c>
      <c r="E69">
        <v>0.11600000000000001</v>
      </c>
      <c r="F69">
        <v>3.2248720571778099E-2</v>
      </c>
      <c r="G69">
        <v>-22.32</v>
      </c>
      <c r="H69">
        <v>0.82499999999999996</v>
      </c>
      <c r="I69">
        <v>1182.0999999999999</v>
      </c>
    </row>
    <row r="70" spans="1:9" x14ac:dyDescent="0.35">
      <c r="A70" t="s">
        <v>79</v>
      </c>
      <c r="B70" t="s">
        <v>58</v>
      </c>
      <c r="C70">
        <v>-0.14399999999999999</v>
      </c>
      <c r="D70">
        <v>-0.33100000000000002</v>
      </c>
      <c r="E70">
        <v>3.9E-2</v>
      </c>
      <c r="F70">
        <v>-2.2810351799890199E-2</v>
      </c>
      <c r="G70">
        <v>-179.72</v>
      </c>
      <c r="H70">
        <v>3.2000000000000001E-2</v>
      </c>
      <c r="I70">
        <v>1177.2</v>
      </c>
    </row>
    <row r="71" spans="1:9" x14ac:dyDescent="0.35">
      <c r="A71" t="s">
        <v>80</v>
      </c>
      <c r="B71" t="s">
        <v>58</v>
      </c>
      <c r="C71">
        <v>-7.1999999999999995E-2</v>
      </c>
      <c r="D71">
        <v>-0.27600000000000002</v>
      </c>
      <c r="E71">
        <v>0.126</v>
      </c>
      <c r="F71">
        <v>2.5831661136686699E-2</v>
      </c>
      <c r="G71">
        <v>-76.2</v>
      </c>
      <c r="H71">
        <v>0.41899999999999998</v>
      </c>
      <c r="I71">
        <v>1181.4000000000001</v>
      </c>
    </row>
    <row r="72" spans="1:9" x14ac:dyDescent="0.35">
      <c r="A72" t="s">
        <v>81</v>
      </c>
      <c r="B72" t="s">
        <v>58</v>
      </c>
      <c r="C72">
        <v>-0.13300000000000001</v>
      </c>
      <c r="D72">
        <v>-0.32</v>
      </c>
      <c r="E72">
        <v>5.0999999999999997E-2</v>
      </c>
      <c r="F72">
        <v>1.7240248768029701E-3</v>
      </c>
      <c r="G72">
        <v>-141.06</v>
      </c>
      <c r="H72">
        <v>9.8000000000000004E-2</v>
      </c>
      <c r="I72">
        <v>1179.2</v>
      </c>
    </row>
    <row r="73" spans="1:9" x14ac:dyDescent="0.35">
      <c r="A73" t="s">
        <v>82</v>
      </c>
      <c r="B73" t="s">
        <v>58</v>
      </c>
      <c r="C73">
        <v>-0.11799999999999999</v>
      </c>
      <c r="D73">
        <v>-0.33100000000000002</v>
      </c>
      <c r="E73">
        <v>0.09</v>
      </c>
      <c r="F73">
        <v>3.6611825108036102E-2</v>
      </c>
      <c r="G73">
        <v>-87.43</v>
      </c>
      <c r="H73">
        <v>0.44500000000000001</v>
      </c>
      <c r="I73">
        <v>1181.5</v>
      </c>
    </row>
    <row r="74" spans="1:9" x14ac:dyDescent="0.35">
      <c r="A74" t="s">
        <v>83</v>
      </c>
      <c r="B74" t="s">
        <v>58</v>
      </c>
      <c r="C74">
        <v>-0.14899999999999999</v>
      </c>
      <c r="D74">
        <v>-0.34499999999999997</v>
      </c>
      <c r="E74">
        <v>5.8000000000000003E-2</v>
      </c>
      <c r="F74">
        <v>-2.3849731401087301E-2</v>
      </c>
      <c r="G74">
        <v>-192.08</v>
      </c>
      <c r="H74">
        <v>0.04</v>
      </c>
      <c r="I74">
        <v>1177.5999999999999</v>
      </c>
    </row>
    <row r="75" spans="1:9" x14ac:dyDescent="0.35">
      <c r="A75" t="s">
        <v>84</v>
      </c>
      <c r="B75" t="s">
        <v>58</v>
      </c>
      <c r="C75">
        <v>-0.12</v>
      </c>
      <c r="D75">
        <v>-0.29699999999999999</v>
      </c>
      <c r="E75">
        <v>9.0999999999999998E-2</v>
      </c>
      <c r="F75">
        <v>5.9356092616374097E-2</v>
      </c>
      <c r="G75">
        <v>-124.52</v>
      </c>
      <c r="H75">
        <v>0.24</v>
      </c>
      <c r="I75">
        <v>1180.5999999999999</v>
      </c>
    </row>
    <row r="76" spans="1:9" x14ac:dyDescent="0.35">
      <c r="A76" t="s">
        <v>85</v>
      </c>
      <c r="B76" t="s">
        <v>58</v>
      </c>
      <c r="C76">
        <v>-0.17</v>
      </c>
      <c r="D76">
        <v>-0.35399999999999998</v>
      </c>
      <c r="E76">
        <v>3.2000000000000001E-2</v>
      </c>
      <c r="F76">
        <v>3.8035701063135599E-2</v>
      </c>
      <c r="G76">
        <v>-191.55</v>
      </c>
      <c r="H76">
        <v>4.4999999999999998E-2</v>
      </c>
      <c r="I76">
        <v>1177.8</v>
      </c>
    </row>
    <row r="77" spans="1:9" x14ac:dyDescent="0.35">
      <c r="A77" t="s">
        <v>86</v>
      </c>
      <c r="B77" t="s">
        <v>58</v>
      </c>
      <c r="C77">
        <v>-0.14599999999999999</v>
      </c>
      <c r="D77">
        <v>-0.32500000000000001</v>
      </c>
      <c r="E77">
        <v>5.6000000000000001E-2</v>
      </c>
      <c r="F77">
        <v>1.75841997964565E-3</v>
      </c>
      <c r="G77">
        <v>-110.47</v>
      </c>
      <c r="H77">
        <v>0.40400000000000003</v>
      </c>
      <c r="I77">
        <v>1181.4000000000001</v>
      </c>
    </row>
    <row r="78" spans="1:9" x14ac:dyDescent="0.35">
      <c r="A78" t="s">
        <v>87</v>
      </c>
      <c r="B78" t="s">
        <v>58</v>
      </c>
      <c r="C78">
        <v>-0.16300000000000001</v>
      </c>
      <c r="D78">
        <v>-0.33600000000000002</v>
      </c>
      <c r="E78">
        <v>8.0000000000000002E-3</v>
      </c>
      <c r="F78">
        <v>-5.8523296818227804E-3</v>
      </c>
      <c r="G78">
        <v>-215.68</v>
      </c>
      <c r="H78">
        <v>4.2000000000000003E-2</v>
      </c>
      <c r="I78">
        <v>1177.7</v>
      </c>
    </row>
    <row r="79" spans="1:9" x14ac:dyDescent="0.35">
      <c r="A79" t="s">
        <v>88</v>
      </c>
      <c r="B79" t="s">
        <v>58</v>
      </c>
      <c r="C79">
        <v>-0.12</v>
      </c>
      <c r="D79">
        <v>-0.29899999999999999</v>
      </c>
      <c r="E79">
        <v>6.9000000000000006E-2</v>
      </c>
      <c r="F79">
        <v>5.4740252304656602E-2</v>
      </c>
      <c r="G79">
        <v>-128.91999999999999</v>
      </c>
      <c r="H79">
        <v>0.24099999999999999</v>
      </c>
      <c r="I79">
        <v>1180.7</v>
      </c>
    </row>
    <row r="80" spans="1:9" x14ac:dyDescent="0.35">
      <c r="A80" t="s">
        <v>89</v>
      </c>
      <c r="B80" t="s">
        <v>58</v>
      </c>
      <c r="C80">
        <v>-0.191</v>
      </c>
      <c r="D80">
        <v>-0.372</v>
      </c>
      <c r="E80">
        <v>-1.0999999999999999E-2</v>
      </c>
      <c r="F80">
        <v>2.85826879589447E-2</v>
      </c>
      <c r="G80">
        <v>-216.78</v>
      </c>
      <c r="H80">
        <v>3.5999999999999997E-2</v>
      </c>
      <c r="I80">
        <v>1177.4000000000001</v>
      </c>
    </row>
    <row r="81" spans="1:9" x14ac:dyDescent="0.35">
      <c r="A81" t="s">
        <v>90</v>
      </c>
      <c r="B81" t="s">
        <v>58</v>
      </c>
      <c r="C81">
        <v>6.0000000000000001E-3</v>
      </c>
      <c r="D81">
        <v>-0.193</v>
      </c>
      <c r="E81">
        <v>0.20799999999999999</v>
      </c>
      <c r="F81">
        <v>6.6533916403703403E-2</v>
      </c>
      <c r="G81">
        <v>-10.39</v>
      </c>
      <c r="H81">
        <v>0.91300000000000003</v>
      </c>
      <c r="I81">
        <v>1182.0999999999999</v>
      </c>
    </row>
    <row r="82" spans="1:9" x14ac:dyDescent="0.35">
      <c r="A82" t="s">
        <v>91</v>
      </c>
      <c r="B82" t="s">
        <v>58</v>
      </c>
      <c r="C82">
        <v>2.8000000000000001E-2</v>
      </c>
      <c r="D82">
        <v>-0.17699999999999999</v>
      </c>
      <c r="E82">
        <v>0.246</v>
      </c>
      <c r="F82">
        <v>-6.6643378170715599E-3</v>
      </c>
      <c r="G82">
        <v>-72.52</v>
      </c>
      <c r="H82">
        <v>0.26600000000000001</v>
      </c>
      <c r="I82">
        <v>1180.8</v>
      </c>
    </row>
    <row r="83" spans="1:9" x14ac:dyDescent="0.35">
      <c r="A83" t="s">
        <v>92</v>
      </c>
      <c r="B83" t="s">
        <v>58</v>
      </c>
      <c r="C83">
        <v>-3.6999999999999998E-2</v>
      </c>
      <c r="D83">
        <v>-0.23300000000000001</v>
      </c>
      <c r="E83">
        <v>0.16</v>
      </c>
      <c r="F83">
        <v>8.3578134926644496E-2</v>
      </c>
      <c r="G83">
        <v>-79.900000000000006</v>
      </c>
      <c r="H83">
        <v>0.32100000000000001</v>
      </c>
      <c r="I83">
        <v>1181.0999999999999</v>
      </c>
    </row>
    <row r="84" spans="1:9" x14ac:dyDescent="0.35">
      <c r="A84" t="s">
        <v>93</v>
      </c>
      <c r="B84" t="s">
        <v>58</v>
      </c>
      <c r="C84">
        <v>2E-3</v>
      </c>
      <c r="D84">
        <v>-0.222</v>
      </c>
      <c r="E84">
        <v>0.222</v>
      </c>
      <c r="F84">
        <v>2.5404652423718099E-2</v>
      </c>
      <c r="G84">
        <v>-67.33</v>
      </c>
      <c r="H84">
        <v>0.33500000000000002</v>
      </c>
      <c r="I84">
        <v>1181.0999999999999</v>
      </c>
    </row>
    <row r="85" spans="1:9" x14ac:dyDescent="0.35">
      <c r="A85" t="s">
        <v>94</v>
      </c>
      <c r="B85" t="s">
        <v>58</v>
      </c>
      <c r="C85">
        <v>-0.152</v>
      </c>
      <c r="D85">
        <v>-0.35099999999999998</v>
      </c>
      <c r="E85">
        <v>5.8000000000000003E-2</v>
      </c>
      <c r="F85">
        <v>7.9152943852518406E-3</v>
      </c>
      <c r="G85">
        <v>-65.28</v>
      </c>
      <c r="H85">
        <v>0.68600000000000005</v>
      </c>
      <c r="I85">
        <v>1181.9000000000001</v>
      </c>
    </row>
    <row r="86" spans="1:9" x14ac:dyDescent="0.35">
      <c r="A86" t="s">
        <v>95</v>
      </c>
      <c r="B86" t="s">
        <v>58</v>
      </c>
      <c r="C86">
        <v>-0.01</v>
      </c>
      <c r="D86">
        <v>-0.19400000000000001</v>
      </c>
      <c r="E86">
        <v>0.184</v>
      </c>
      <c r="F86">
        <v>4.7134963312582101E-2</v>
      </c>
      <c r="G86">
        <v>-166.22</v>
      </c>
      <c r="H86">
        <v>0.17699999999999999</v>
      </c>
      <c r="I86">
        <v>1180.2</v>
      </c>
    </row>
    <row r="87" spans="1:9" x14ac:dyDescent="0.35">
      <c r="A87" t="s">
        <v>96</v>
      </c>
      <c r="B87" t="s">
        <v>58</v>
      </c>
      <c r="C87">
        <v>-8.7999999999999995E-2</v>
      </c>
      <c r="D87">
        <v>-0.22800000000000001</v>
      </c>
      <c r="E87">
        <v>0.10299999999999999</v>
      </c>
      <c r="F87">
        <v>7.8519164371247493E-2</v>
      </c>
      <c r="G87">
        <v>-64.709999999999994</v>
      </c>
      <c r="H87">
        <v>0.61799999999999999</v>
      </c>
      <c r="I87">
        <v>1181.9000000000001</v>
      </c>
    </row>
    <row r="88" spans="1:9" x14ac:dyDescent="0.35">
      <c r="A88" t="s">
        <v>97</v>
      </c>
      <c r="B88" t="s">
        <v>58</v>
      </c>
      <c r="C88">
        <v>5.5E-2</v>
      </c>
      <c r="D88">
        <v>-0.111</v>
      </c>
      <c r="E88">
        <v>0.22600000000000001</v>
      </c>
      <c r="F88">
        <v>3.9499605257893103E-2</v>
      </c>
      <c r="G88">
        <v>-64.349999999999994</v>
      </c>
      <c r="H88">
        <v>0.58899999999999997</v>
      </c>
      <c r="I88">
        <v>1181.8</v>
      </c>
    </row>
    <row r="89" spans="1:9" x14ac:dyDescent="0.35">
      <c r="A89" t="s">
        <v>98</v>
      </c>
      <c r="B89" t="s">
        <v>58</v>
      </c>
      <c r="C89">
        <v>-0.53500000000000003</v>
      </c>
      <c r="D89">
        <v>-0.65</v>
      </c>
      <c r="E89">
        <v>-0.40799999999999997</v>
      </c>
      <c r="F89">
        <v>1.5861469041553401E-3</v>
      </c>
      <c r="G89">
        <v>-304.20999999999998</v>
      </c>
      <c r="H89">
        <v>3.0000000000000001E-3</v>
      </c>
      <c r="I89">
        <v>1172.4000000000001</v>
      </c>
    </row>
    <row r="90" spans="1:9" x14ac:dyDescent="0.35">
      <c r="A90" t="s">
        <v>99</v>
      </c>
      <c r="B90" t="s">
        <v>58</v>
      </c>
      <c r="C90">
        <v>0.215</v>
      </c>
      <c r="D90">
        <v>2.1000000000000001E-2</v>
      </c>
      <c r="E90">
        <v>0.39800000000000002</v>
      </c>
      <c r="F90">
        <v>6.09173550206644E-2</v>
      </c>
      <c r="G90">
        <v>784.65</v>
      </c>
      <c r="H90">
        <v>7.0000000000000007E-2</v>
      </c>
      <c r="I90">
        <v>1178.5999999999999</v>
      </c>
    </row>
    <row r="91" spans="1:9" x14ac:dyDescent="0.35">
      <c r="A91" t="s">
        <v>100</v>
      </c>
      <c r="B91" t="s">
        <v>58</v>
      </c>
      <c r="C91">
        <v>-7.6999999999999999E-2</v>
      </c>
      <c r="D91">
        <v>-0.27400000000000002</v>
      </c>
      <c r="E91">
        <v>0.10199999999999999</v>
      </c>
      <c r="F91">
        <v>3.5588769734629398E-2</v>
      </c>
      <c r="G91">
        <v>191.1</v>
      </c>
      <c r="H91">
        <v>0.35799999999999998</v>
      </c>
      <c r="I91">
        <v>1181.2</v>
      </c>
    </row>
    <row r="92" spans="1:9" x14ac:dyDescent="0.35">
      <c r="A92" t="s">
        <v>101</v>
      </c>
      <c r="B92" t="s">
        <v>58</v>
      </c>
      <c r="C92">
        <v>0.113</v>
      </c>
      <c r="D92">
        <v>-0.11799999999999999</v>
      </c>
      <c r="E92">
        <v>0.32700000000000001</v>
      </c>
      <c r="F92">
        <v>5.78884920830482E-2</v>
      </c>
      <c r="G92">
        <v>533.49</v>
      </c>
      <c r="H92">
        <v>8.4000000000000005E-2</v>
      </c>
      <c r="I92">
        <v>1178.9000000000001</v>
      </c>
    </row>
    <row r="93" spans="1:9" x14ac:dyDescent="0.35">
      <c r="A93" t="s">
        <v>102</v>
      </c>
      <c r="B93" t="s">
        <v>58</v>
      </c>
      <c r="C93">
        <v>-0.33600000000000002</v>
      </c>
      <c r="D93">
        <v>-0.48399999999999999</v>
      </c>
      <c r="E93">
        <v>-0.193</v>
      </c>
      <c r="F93">
        <v>9.8895453806886094E-2</v>
      </c>
      <c r="G93">
        <v>-303.39</v>
      </c>
      <c r="H93">
        <v>0.249</v>
      </c>
      <c r="I93">
        <v>1180.7</v>
      </c>
    </row>
    <row r="94" spans="1:9" x14ac:dyDescent="0.35">
      <c r="A94" t="s">
        <v>103</v>
      </c>
      <c r="B94" t="s">
        <v>58</v>
      </c>
      <c r="C94">
        <v>-0.21199999999999999</v>
      </c>
      <c r="D94">
        <v>-0.40400000000000003</v>
      </c>
      <c r="E94">
        <v>-6.8000000000000005E-2</v>
      </c>
      <c r="F94">
        <v>0.129856669962366</v>
      </c>
      <c r="G94">
        <v>-368.89</v>
      </c>
      <c r="H94">
        <v>0.158</v>
      </c>
      <c r="I94">
        <v>1180</v>
      </c>
    </row>
    <row r="95" spans="1:9" x14ac:dyDescent="0.35">
      <c r="A95" t="s">
        <v>104</v>
      </c>
      <c r="B95" t="s">
        <v>58</v>
      </c>
      <c r="C95">
        <v>-0.27100000000000002</v>
      </c>
      <c r="D95">
        <v>-0.45300000000000001</v>
      </c>
      <c r="E95">
        <v>-8.1000000000000003E-2</v>
      </c>
      <c r="F95">
        <v>0.112604420931223</v>
      </c>
      <c r="G95">
        <v>-312.58</v>
      </c>
      <c r="H95">
        <v>0.25800000000000001</v>
      </c>
      <c r="I95">
        <v>1180.8</v>
      </c>
    </row>
    <row r="96" spans="1:9" x14ac:dyDescent="0.35">
      <c r="A96" t="s">
        <v>105</v>
      </c>
      <c r="B96" t="s">
        <v>58</v>
      </c>
      <c r="C96">
        <v>-0.27100000000000002</v>
      </c>
      <c r="D96">
        <v>-0.437</v>
      </c>
      <c r="E96">
        <v>-0.125</v>
      </c>
      <c r="F96">
        <v>0.12054763536013099</v>
      </c>
      <c r="G96">
        <v>-381.93</v>
      </c>
      <c r="H96">
        <v>0.158</v>
      </c>
      <c r="I96">
        <v>1180</v>
      </c>
    </row>
    <row r="97" spans="1:9" x14ac:dyDescent="0.35">
      <c r="A97" t="s">
        <v>106</v>
      </c>
      <c r="B97" t="s">
        <v>58</v>
      </c>
      <c r="C97">
        <v>-0.152</v>
      </c>
      <c r="D97">
        <v>-0.34399999999999997</v>
      </c>
      <c r="E97">
        <v>3.5000000000000003E-2</v>
      </c>
      <c r="F97">
        <v>6.6842556709177298E-2</v>
      </c>
      <c r="G97">
        <v>-779.35</v>
      </c>
      <c r="H97">
        <v>0.36699999999999999</v>
      </c>
      <c r="I97">
        <v>1181.3</v>
      </c>
    </row>
    <row r="98" spans="1:9" x14ac:dyDescent="0.35">
      <c r="A98" t="s">
        <v>107</v>
      </c>
      <c r="B98" t="s">
        <v>58</v>
      </c>
      <c r="C98">
        <v>0.10100000000000001</v>
      </c>
      <c r="D98">
        <v>-6.0999999999999999E-2</v>
      </c>
      <c r="E98">
        <v>0.26</v>
      </c>
      <c r="F98">
        <v>1.42674369612284E-2</v>
      </c>
      <c r="G98">
        <v>-199.26</v>
      </c>
      <c r="H98">
        <v>0.83699999999999997</v>
      </c>
      <c r="I98">
        <v>1182.0999999999999</v>
      </c>
    </row>
    <row r="99" spans="1:9" x14ac:dyDescent="0.35">
      <c r="A99" t="s">
        <v>108</v>
      </c>
      <c r="B99" t="s">
        <v>58</v>
      </c>
      <c r="C99">
        <v>1.9E-2</v>
      </c>
      <c r="D99">
        <v>-0.184</v>
      </c>
      <c r="E99">
        <v>0.20200000000000001</v>
      </c>
      <c r="F99">
        <v>2.1950266219623201E-2</v>
      </c>
      <c r="G99">
        <v>-719.48</v>
      </c>
      <c r="H99">
        <v>0.46500000000000002</v>
      </c>
      <c r="I99">
        <v>1181.5999999999999</v>
      </c>
    </row>
    <row r="100" spans="1:9" x14ac:dyDescent="0.35">
      <c r="A100" t="s">
        <v>109</v>
      </c>
      <c r="B100" t="s">
        <v>58</v>
      </c>
      <c r="C100">
        <v>6.7000000000000004E-2</v>
      </c>
      <c r="D100">
        <v>-0.115</v>
      </c>
      <c r="E100">
        <v>0.254</v>
      </c>
      <c r="F100">
        <v>2.2715275177548899E-2</v>
      </c>
      <c r="G100">
        <v>-537.55999999999995</v>
      </c>
      <c r="H100">
        <v>0.58799999999999997</v>
      </c>
      <c r="I100">
        <v>1181.8</v>
      </c>
    </row>
    <row r="101" spans="1:9" x14ac:dyDescent="0.35">
      <c r="A101" t="s">
        <v>110</v>
      </c>
      <c r="B101" t="s">
        <v>58</v>
      </c>
      <c r="C101">
        <v>0.13100000000000001</v>
      </c>
      <c r="D101">
        <v>-2.7E-2</v>
      </c>
      <c r="E101">
        <v>0.27800000000000002</v>
      </c>
      <c r="F101">
        <v>0.100175949091897</v>
      </c>
      <c r="G101">
        <v>977.41</v>
      </c>
      <c r="H101">
        <v>0.44900000000000001</v>
      </c>
      <c r="I101">
        <v>1181.5</v>
      </c>
    </row>
    <row r="102" spans="1:9" x14ac:dyDescent="0.35">
      <c r="A102" t="s">
        <v>111</v>
      </c>
      <c r="B102" t="s">
        <v>58</v>
      </c>
      <c r="C102">
        <v>0.24399999999999999</v>
      </c>
      <c r="D102">
        <v>0.10199999999999999</v>
      </c>
      <c r="E102">
        <v>0.38500000000000001</v>
      </c>
      <c r="F102">
        <v>4.3929422522462597E-2</v>
      </c>
      <c r="G102">
        <v>1750.28</v>
      </c>
      <c r="H102">
        <v>0.23599999999999999</v>
      </c>
      <c r="I102">
        <v>1180.5999999999999</v>
      </c>
    </row>
    <row r="103" spans="1:9" x14ac:dyDescent="0.35">
      <c r="A103" t="s">
        <v>112</v>
      </c>
      <c r="B103" t="s">
        <v>58</v>
      </c>
      <c r="C103">
        <v>0.26800000000000002</v>
      </c>
      <c r="D103">
        <v>0.104</v>
      </c>
      <c r="E103">
        <v>0.41799999999999998</v>
      </c>
      <c r="F103">
        <v>5.4038516157688503E-2</v>
      </c>
      <c r="G103">
        <v>1681.17</v>
      </c>
      <c r="H103">
        <v>0.32400000000000001</v>
      </c>
      <c r="I103">
        <v>1181.0999999999999</v>
      </c>
    </row>
    <row r="104" spans="1:9" x14ac:dyDescent="0.35">
      <c r="A104" t="s">
        <v>113</v>
      </c>
      <c r="B104" t="s">
        <v>58</v>
      </c>
      <c r="C104">
        <v>0.26200000000000001</v>
      </c>
      <c r="D104">
        <v>0.125</v>
      </c>
      <c r="E104">
        <v>0.4</v>
      </c>
      <c r="F104">
        <v>5.4633097821994603E-2</v>
      </c>
      <c r="G104">
        <v>1646.83</v>
      </c>
      <c r="H104">
        <v>0.313</v>
      </c>
      <c r="I104">
        <v>1181</v>
      </c>
    </row>
    <row r="105" spans="1:9" x14ac:dyDescent="0.35">
      <c r="A105" t="s">
        <v>114</v>
      </c>
      <c r="B105" t="s">
        <v>58</v>
      </c>
      <c r="C105">
        <v>0.20200000000000001</v>
      </c>
      <c r="D105">
        <v>7.5999999999999998E-2</v>
      </c>
      <c r="E105">
        <v>0.32100000000000001</v>
      </c>
      <c r="F105">
        <v>2.6371234957233199E-2</v>
      </c>
      <c r="G105">
        <v>72397.279999999999</v>
      </c>
      <c r="H105">
        <v>2.7E-2</v>
      </c>
      <c r="I105">
        <v>1176.9000000000001</v>
      </c>
    </row>
    <row r="106" spans="1:9" x14ac:dyDescent="0.35">
      <c r="A106" t="s">
        <v>115</v>
      </c>
      <c r="B106" t="s">
        <v>58</v>
      </c>
      <c r="C106">
        <v>2.5000000000000001E-2</v>
      </c>
      <c r="D106">
        <v>-0.115</v>
      </c>
      <c r="E106">
        <v>0.16</v>
      </c>
      <c r="F106">
        <v>8.4298151640598201E-2</v>
      </c>
      <c r="G106">
        <v>6877.87</v>
      </c>
      <c r="H106">
        <v>0.11600000000000001</v>
      </c>
      <c r="I106">
        <v>1179.5</v>
      </c>
    </row>
    <row r="107" spans="1:9" x14ac:dyDescent="0.35">
      <c r="A107" t="s">
        <v>116</v>
      </c>
      <c r="B107" t="s">
        <v>58</v>
      </c>
      <c r="C107">
        <v>1.4E-2</v>
      </c>
      <c r="D107">
        <v>-0.13800000000000001</v>
      </c>
      <c r="E107">
        <v>0.154</v>
      </c>
      <c r="F107">
        <v>0.124131712996708</v>
      </c>
      <c r="G107">
        <v>8805.6299999999992</v>
      </c>
      <c r="H107">
        <v>0.43099999999999999</v>
      </c>
      <c r="I107">
        <v>1181.5</v>
      </c>
    </row>
    <row r="108" spans="1:9" x14ac:dyDescent="0.35">
      <c r="A108" t="s">
        <v>117</v>
      </c>
      <c r="B108" t="s">
        <v>58</v>
      </c>
      <c r="C108">
        <v>-2E-3</v>
      </c>
      <c r="D108">
        <v>-0.193</v>
      </c>
      <c r="E108">
        <v>0.17399999999999999</v>
      </c>
      <c r="F108">
        <v>0.13966627833181999</v>
      </c>
      <c r="G108">
        <v>5854.46</v>
      </c>
      <c r="H108">
        <v>0.38400000000000001</v>
      </c>
      <c r="I108">
        <v>1181.3</v>
      </c>
    </row>
    <row r="109" spans="1:9" x14ac:dyDescent="0.35">
      <c r="A109" t="s">
        <v>118</v>
      </c>
      <c r="B109" t="s">
        <v>58</v>
      </c>
      <c r="C109">
        <v>-4.0000000000000001E-3</v>
      </c>
      <c r="D109">
        <v>-0.21199999999999999</v>
      </c>
      <c r="E109">
        <v>0.20399999999999999</v>
      </c>
      <c r="F109">
        <v>4.1240101886347701E-3</v>
      </c>
      <c r="G109">
        <v>15.48</v>
      </c>
      <c r="H109">
        <v>0.89200000000000002</v>
      </c>
      <c r="I109">
        <v>1182.0999999999999</v>
      </c>
    </row>
    <row r="110" spans="1:9" x14ac:dyDescent="0.35">
      <c r="A110" t="s">
        <v>119</v>
      </c>
      <c r="B110" t="s">
        <v>58</v>
      </c>
      <c r="C110">
        <v>0.28100000000000003</v>
      </c>
      <c r="D110">
        <v>9.4E-2</v>
      </c>
      <c r="E110">
        <v>0.432</v>
      </c>
      <c r="F110">
        <v>-5.4652499008357404E-3</v>
      </c>
      <c r="G110">
        <v>135.21</v>
      </c>
      <c r="H110">
        <v>0.314</v>
      </c>
      <c r="I110">
        <v>1181</v>
      </c>
    </row>
    <row r="111" spans="1:9" x14ac:dyDescent="0.35">
      <c r="A111" t="s">
        <v>120</v>
      </c>
      <c r="B111" t="s">
        <v>58</v>
      </c>
      <c r="C111">
        <v>0.13100000000000001</v>
      </c>
      <c r="D111">
        <v>-5.8000000000000003E-2</v>
      </c>
      <c r="E111">
        <v>0.30099999999999999</v>
      </c>
      <c r="F111">
        <v>5.8996294788063301E-4</v>
      </c>
      <c r="G111">
        <v>89.87</v>
      </c>
      <c r="H111">
        <v>0.46500000000000002</v>
      </c>
      <c r="I111">
        <v>1181.5999999999999</v>
      </c>
    </row>
    <row r="112" spans="1:9" x14ac:dyDescent="0.35">
      <c r="A112" t="s">
        <v>121</v>
      </c>
      <c r="B112" t="s">
        <v>58</v>
      </c>
      <c r="C112">
        <v>0.14099999999999999</v>
      </c>
      <c r="D112">
        <v>-3.2000000000000001E-2</v>
      </c>
      <c r="E112">
        <v>0.29799999999999999</v>
      </c>
      <c r="F112">
        <v>-8.4925275821326803E-3</v>
      </c>
      <c r="G112">
        <v>62.81</v>
      </c>
      <c r="H112">
        <v>0.624</v>
      </c>
      <c r="I112">
        <v>1181.9000000000001</v>
      </c>
    </row>
    <row r="113" spans="1:9" x14ac:dyDescent="0.35">
      <c r="A113" t="s">
        <v>122</v>
      </c>
      <c r="B113" t="s">
        <v>58</v>
      </c>
      <c r="C113">
        <v>-3.6999999999999998E-2</v>
      </c>
      <c r="D113">
        <v>-0.25600000000000001</v>
      </c>
      <c r="E113">
        <v>0.18</v>
      </c>
      <c r="F113">
        <v>1.7435655358003701E-2</v>
      </c>
      <c r="G113">
        <v>-63.38</v>
      </c>
      <c r="H113">
        <v>0.61099999999999999</v>
      </c>
      <c r="I113">
        <v>1181.8</v>
      </c>
    </row>
    <row r="114" spans="1:9" x14ac:dyDescent="0.35">
      <c r="A114" t="s">
        <v>123</v>
      </c>
      <c r="B114" t="s">
        <v>58</v>
      </c>
      <c r="C114">
        <v>0.113</v>
      </c>
      <c r="D114">
        <v>-6.2E-2</v>
      </c>
      <c r="E114">
        <v>0.28299999999999997</v>
      </c>
      <c r="F114">
        <v>5.9672416961310697E-2</v>
      </c>
      <c r="G114">
        <v>-40.619999999999997</v>
      </c>
      <c r="H114">
        <v>0.77600000000000002</v>
      </c>
      <c r="I114">
        <v>1182</v>
      </c>
    </row>
    <row r="115" spans="1:9" x14ac:dyDescent="0.35">
      <c r="A115" t="s">
        <v>124</v>
      </c>
      <c r="B115" t="s">
        <v>58</v>
      </c>
      <c r="C115">
        <v>4.1000000000000002E-2</v>
      </c>
      <c r="D115">
        <v>-0.15</v>
      </c>
      <c r="E115">
        <v>0.22900000000000001</v>
      </c>
      <c r="F115">
        <v>1.720646576465E-2</v>
      </c>
      <c r="G115">
        <v>-32.49</v>
      </c>
      <c r="H115">
        <v>0.79300000000000004</v>
      </c>
      <c r="I115">
        <v>1182.0999999999999</v>
      </c>
    </row>
    <row r="116" spans="1:9" x14ac:dyDescent="0.35">
      <c r="A116" t="s">
        <v>125</v>
      </c>
      <c r="B116" t="s">
        <v>58</v>
      </c>
      <c r="C116">
        <v>0.13200000000000001</v>
      </c>
      <c r="D116">
        <v>-7.4999999999999997E-2</v>
      </c>
      <c r="E116">
        <v>0.34399999999999997</v>
      </c>
      <c r="F116">
        <v>1.01468297874655E-2</v>
      </c>
      <c r="G116">
        <v>-12.77</v>
      </c>
      <c r="H116">
        <v>0.92300000000000004</v>
      </c>
      <c r="I116">
        <v>1182.0999999999999</v>
      </c>
    </row>
    <row r="117" spans="1:9" x14ac:dyDescent="0.35">
      <c r="A117" t="s">
        <v>126</v>
      </c>
      <c r="B117" t="s">
        <v>58</v>
      </c>
      <c r="C117">
        <v>-8.3000000000000004E-2</v>
      </c>
      <c r="D117">
        <v>-0.27</v>
      </c>
      <c r="E117">
        <v>0.122</v>
      </c>
      <c r="F117">
        <v>3.7379422671157403E-2</v>
      </c>
      <c r="G117">
        <v>-87.65</v>
      </c>
      <c r="H117">
        <v>0.51800000000000002</v>
      </c>
      <c r="I117">
        <v>1181.7</v>
      </c>
    </row>
    <row r="118" spans="1:9" x14ac:dyDescent="0.35">
      <c r="A118" t="s">
        <v>127</v>
      </c>
      <c r="B118" t="s">
        <v>58</v>
      </c>
      <c r="C118">
        <v>8.3000000000000004E-2</v>
      </c>
      <c r="D118">
        <v>-8.8999999999999996E-2</v>
      </c>
      <c r="E118">
        <v>0.23400000000000001</v>
      </c>
      <c r="F118">
        <v>6.4979132859472197E-2</v>
      </c>
      <c r="G118">
        <v>-14.2</v>
      </c>
      <c r="H118">
        <v>0.92200000000000004</v>
      </c>
      <c r="I118">
        <v>1182.0999999999999</v>
      </c>
    </row>
    <row r="119" spans="1:9" x14ac:dyDescent="0.35">
      <c r="A119" t="s">
        <v>128</v>
      </c>
      <c r="B119" t="s">
        <v>58</v>
      </c>
      <c r="C119">
        <v>0.11600000000000001</v>
      </c>
      <c r="D119">
        <v>-7.6999999999999999E-2</v>
      </c>
      <c r="E119">
        <v>0.28999999999999998</v>
      </c>
      <c r="F119">
        <v>1.0552899740733699E-2</v>
      </c>
      <c r="G119">
        <v>21.2</v>
      </c>
      <c r="H119">
        <v>0.876</v>
      </c>
      <c r="I119">
        <v>1182.0999999999999</v>
      </c>
    </row>
    <row r="120" spans="1:9" x14ac:dyDescent="0.35">
      <c r="A120" t="s">
        <v>129</v>
      </c>
      <c r="B120" t="s">
        <v>58</v>
      </c>
      <c r="C120">
        <v>9.2999999999999999E-2</v>
      </c>
      <c r="D120">
        <v>-0.108</v>
      </c>
      <c r="E120">
        <v>0.26900000000000002</v>
      </c>
      <c r="F120">
        <v>5.0189428807518699E-2</v>
      </c>
      <c r="G120">
        <v>-42.61</v>
      </c>
      <c r="H120">
        <v>0.76400000000000001</v>
      </c>
      <c r="I120">
        <v>1182</v>
      </c>
    </row>
    <row r="121" spans="1:9" x14ac:dyDescent="0.35">
      <c r="A121" t="s">
        <v>130</v>
      </c>
      <c r="B121" t="s">
        <v>58</v>
      </c>
      <c r="C121">
        <v>1.6E-2</v>
      </c>
      <c r="D121">
        <v>-0.191</v>
      </c>
      <c r="E121">
        <v>0.23300000000000001</v>
      </c>
      <c r="F121">
        <v>2.8459202858583998E-2</v>
      </c>
      <c r="G121">
        <v>17.43</v>
      </c>
      <c r="H121">
        <v>0.86399999999999999</v>
      </c>
      <c r="I121">
        <v>1182.0999999999999</v>
      </c>
    </row>
    <row r="122" spans="1:9" x14ac:dyDescent="0.35">
      <c r="A122" t="s">
        <v>131</v>
      </c>
      <c r="B122" t="s">
        <v>58</v>
      </c>
      <c r="C122">
        <v>0.35099999999999998</v>
      </c>
      <c r="D122">
        <v>0.185</v>
      </c>
      <c r="E122">
        <v>0.51600000000000001</v>
      </c>
      <c r="F122">
        <v>-5.6196472055063E-2</v>
      </c>
      <c r="G122">
        <v>108.18</v>
      </c>
      <c r="H122">
        <v>0.26</v>
      </c>
      <c r="I122">
        <v>1180.8</v>
      </c>
    </row>
    <row r="123" spans="1:9" x14ac:dyDescent="0.35">
      <c r="A123" t="s">
        <v>132</v>
      </c>
      <c r="B123" t="s">
        <v>58</v>
      </c>
      <c r="C123">
        <v>0.123</v>
      </c>
      <c r="D123">
        <v>-9.2999999999999999E-2</v>
      </c>
      <c r="E123">
        <v>0.314</v>
      </c>
      <c r="F123">
        <v>3.9312903330809203E-2</v>
      </c>
      <c r="G123">
        <v>21.09</v>
      </c>
      <c r="H123">
        <v>0.84099999999999997</v>
      </c>
      <c r="I123">
        <v>1182.0999999999999</v>
      </c>
    </row>
    <row r="124" spans="1:9" x14ac:dyDescent="0.35">
      <c r="A124" t="s">
        <v>133</v>
      </c>
      <c r="B124" t="s">
        <v>58</v>
      </c>
      <c r="C124">
        <v>0.193</v>
      </c>
      <c r="D124">
        <v>1E-3</v>
      </c>
      <c r="E124">
        <v>0.37</v>
      </c>
      <c r="F124">
        <v>-1.01852615491987E-2</v>
      </c>
      <c r="G124">
        <v>29.63</v>
      </c>
      <c r="H124">
        <v>0.78600000000000003</v>
      </c>
      <c r="I124">
        <v>1182</v>
      </c>
    </row>
    <row r="125" spans="1:9" x14ac:dyDescent="0.35">
      <c r="A125" t="s">
        <v>134</v>
      </c>
      <c r="B125" t="s">
        <v>58</v>
      </c>
      <c r="C125">
        <v>-0.154</v>
      </c>
      <c r="D125">
        <v>-0.35699999999999998</v>
      </c>
      <c r="E125">
        <v>0.08</v>
      </c>
      <c r="F125">
        <v>3.1440864119883803E-2</v>
      </c>
      <c r="G125">
        <v>-87</v>
      </c>
      <c r="H125">
        <v>0.57399999999999995</v>
      </c>
      <c r="I125">
        <v>1181.8</v>
      </c>
    </row>
    <row r="126" spans="1:9" x14ac:dyDescent="0.35">
      <c r="A126" t="s">
        <v>135</v>
      </c>
      <c r="B126" t="s">
        <v>58</v>
      </c>
      <c r="C126">
        <v>4.9000000000000002E-2</v>
      </c>
      <c r="D126">
        <v>-0.13900000000000001</v>
      </c>
      <c r="E126">
        <v>0.25600000000000001</v>
      </c>
      <c r="F126">
        <v>5.96178109112286E-2</v>
      </c>
      <c r="G126">
        <v>23.92</v>
      </c>
      <c r="H126">
        <v>0.86199999999999999</v>
      </c>
      <c r="I126">
        <v>1182.0999999999999</v>
      </c>
    </row>
    <row r="127" spans="1:9" x14ac:dyDescent="0.35">
      <c r="A127" t="s">
        <v>136</v>
      </c>
      <c r="B127" t="s">
        <v>58</v>
      </c>
      <c r="C127">
        <v>-1.0999999999999999E-2</v>
      </c>
      <c r="D127">
        <v>-0.19400000000000001</v>
      </c>
      <c r="E127">
        <v>0.19400000000000001</v>
      </c>
      <c r="F127">
        <v>1.8727935062998899E-2</v>
      </c>
      <c r="G127">
        <v>24.01</v>
      </c>
      <c r="H127">
        <v>0.877</v>
      </c>
      <c r="I127">
        <v>1182.0999999999999</v>
      </c>
    </row>
    <row r="128" spans="1:9" x14ac:dyDescent="0.35">
      <c r="A128" t="s">
        <v>137</v>
      </c>
      <c r="B128" t="s">
        <v>58</v>
      </c>
      <c r="C128">
        <v>-7.0000000000000001E-3</v>
      </c>
      <c r="D128">
        <v>-0.19500000000000001</v>
      </c>
      <c r="E128">
        <v>0.189</v>
      </c>
      <c r="F128">
        <v>3.9085047476042099E-2</v>
      </c>
      <c r="G128">
        <v>-17.86</v>
      </c>
      <c r="H128">
        <v>0.91300000000000003</v>
      </c>
      <c r="I128">
        <v>1182.0999999999999</v>
      </c>
    </row>
    <row r="129" spans="1:9" x14ac:dyDescent="0.35">
      <c r="A129" t="s">
        <v>138</v>
      </c>
      <c r="B129" t="s">
        <v>58</v>
      </c>
      <c r="C129">
        <v>-5.8000000000000003E-2</v>
      </c>
      <c r="D129">
        <v>-0.27600000000000002</v>
      </c>
      <c r="E129">
        <v>0.14299999999999999</v>
      </c>
      <c r="F129">
        <v>2.3383588610208301E-2</v>
      </c>
      <c r="G129">
        <v>7.15</v>
      </c>
      <c r="H129">
        <v>0.501</v>
      </c>
      <c r="I129">
        <v>1181.5999999999999</v>
      </c>
    </row>
    <row r="130" spans="1:9" x14ac:dyDescent="0.35">
      <c r="A130" t="s">
        <v>139</v>
      </c>
      <c r="B130" t="s">
        <v>58</v>
      </c>
      <c r="C130">
        <v>0.22</v>
      </c>
      <c r="D130">
        <v>2.7E-2</v>
      </c>
      <c r="E130">
        <v>0.40400000000000003</v>
      </c>
      <c r="F130">
        <v>-4.5255636917144798E-3</v>
      </c>
      <c r="G130">
        <v>3.62</v>
      </c>
      <c r="H130">
        <v>0.155</v>
      </c>
      <c r="I130">
        <v>1180</v>
      </c>
    </row>
    <row r="131" spans="1:9" x14ac:dyDescent="0.35">
      <c r="A131" t="s">
        <v>140</v>
      </c>
      <c r="B131" t="s">
        <v>58</v>
      </c>
      <c r="C131">
        <v>4.5999999999999999E-2</v>
      </c>
      <c r="D131">
        <v>-0.155</v>
      </c>
      <c r="E131">
        <v>0.218</v>
      </c>
      <c r="F131">
        <v>1.77369773652549E-2</v>
      </c>
      <c r="G131">
        <v>3.28</v>
      </c>
      <c r="H131">
        <v>0.45300000000000001</v>
      </c>
      <c r="I131">
        <v>1181.5</v>
      </c>
    </row>
    <row r="132" spans="1:9" x14ac:dyDescent="0.35">
      <c r="A132" t="s">
        <v>141</v>
      </c>
      <c r="B132" t="s">
        <v>58</v>
      </c>
      <c r="C132">
        <v>8.5000000000000006E-2</v>
      </c>
      <c r="D132">
        <v>-0.13100000000000001</v>
      </c>
      <c r="E132">
        <v>0.28499999999999998</v>
      </c>
      <c r="F132">
        <v>7.7509936315570196E-3</v>
      </c>
      <c r="G132">
        <v>2.77</v>
      </c>
      <c r="H132">
        <v>0.39900000000000002</v>
      </c>
      <c r="I132">
        <v>1181.4000000000001</v>
      </c>
    </row>
    <row r="133" spans="1:9" x14ac:dyDescent="0.35">
      <c r="A133" t="s">
        <v>142</v>
      </c>
      <c r="B133" t="s">
        <v>58</v>
      </c>
      <c r="C133">
        <v>-9.2999999999999999E-2</v>
      </c>
      <c r="D133">
        <v>-0.30199999999999999</v>
      </c>
      <c r="E133">
        <v>0.114</v>
      </c>
      <c r="F133">
        <v>2.4720263280083799E-2</v>
      </c>
      <c r="G133">
        <v>4.3600000000000003</v>
      </c>
      <c r="H133">
        <v>0.67400000000000004</v>
      </c>
      <c r="I133">
        <v>1181.9000000000001</v>
      </c>
    </row>
    <row r="134" spans="1:9" x14ac:dyDescent="0.35">
      <c r="A134" t="s">
        <v>143</v>
      </c>
      <c r="B134" t="s">
        <v>58</v>
      </c>
      <c r="C134">
        <v>0.156</v>
      </c>
      <c r="D134">
        <v>-3.5999999999999997E-2</v>
      </c>
      <c r="E134">
        <v>0.32600000000000001</v>
      </c>
      <c r="F134">
        <v>-4.4271893811296103E-3</v>
      </c>
      <c r="G134">
        <v>3.33</v>
      </c>
      <c r="H134">
        <v>0.17100000000000001</v>
      </c>
      <c r="I134">
        <v>1180.0999999999999</v>
      </c>
    </row>
    <row r="135" spans="1:9" x14ac:dyDescent="0.35">
      <c r="A135" t="s">
        <v>144</v>
      </c>
      <c r="B135" t="s">
        <v>58</v>
      </c>
      <c r="C135">
        <v>-0.02</v>
      </c>
      <c r="D135">
        <v>-0.23599999999999999</v>
      </c>
      <c r="E135">
        <v>0.2</v>
      </c>
      <c r="F135">
        <v>3.7495134914641702E-2</v>
      </c>
      <c r="G135">
        <v>2.0099999999999998</v>
      </c>
      <c r="H135">
        <v>0.65400000000000003</v>
      </c>
      <c r="I135">
        <v>1181.9000000000001</v>
      </c>
    </row>
    <row r="136" spans="1:9" x14ac:dyDescent="0.35">
      <c r="A136" t="s">
        <v>145</v>
      </c>
      <c r="B136" t="s">
        <v>58</v>
      </c>
      <c r="C136">
        <v>7.0000000000000001E-3</v>
      </c>
      <c r="D136">
        <v>-0.20899999999999999</v>
      </c>
      <c r="E136">
        <v>0.219</v>
      </c>
      <c r="F136">
        <v>2.79374329166324E-2</v>
      </c>
      <c r="G136">
        <v>1.73</v>
      </c>
      <c r="H136">
        <v>0.60599999999999998</v>
      </c>
      <c r="I136">
        <v>1181.8</v>
      </c>
    </row>
    <row r="137" spans="1:9" x14ac:dyDescent="0.35">
      <c r="A137" t="s">
        <v>146</v>
      </c>
      <c r="B137" t="s">
        <v>58</v>
      </c>
      <c r="C137">
        <v>-9.5000000000000001E-2</v>
      </c>
      <c r="D137">
        <v>-0.26100000000000001</v>
      </c>
      <c r="E137">
        <v>9.4E-2</v>
      </c>
      <c r="F137">
        <v>5.0921232767937403E-3</v>
      </c>
      <c r="G137">
        <v>5.91</v>
      </c>
      <c r="H137">
        <v>0.57199999999999995</v>
      </c>
      <c r="I137">
        <v>1181.8</v>
      </c>
    </row>
    <row r="138" spans="1:9" x14ac:dyDescent="0.35">
      <c r="A138" t="s">
        <v>147</v>
      </c>
      <c r="B138" t="s">
        <v>58</v>
      </c>
      <c r="C138">
        <v>8.3000000000000004E-2</v>
      </c>
      <c r="D138">
        <v>-0.11</v>
      </c>
      <c r="E138">
        <v>0.26</v>
      </c>
      <c r="F138">
        <v>5.44607052793854E-3</v>
      </c>
      <c r="G138">
        <v>3.07</v>
      </c>
      <c r="H138">
        <v>0.223</v>
      </c>
      <c r="I138">
        <v>1180.5</v>
      </c>
    </row>
    <row r="139" spans="1:9" x14ac:dyDescent="0.35">
      <c r="A139" t="s">
        <v>148</v>
      </c>
      <c r="B139" t="s">
        <v>58</v>
      </c>
      <c r="C139">
        <v>-5.0999999999999997E-2</v>
      </c>
      <c r="D139">
        <v>-0.23499999999999999</v>
      </c>
      <c r="E139">
        <v>0.15</v>
      </c>
      <c r="F139">
        <v>3.5357329001955803E-2</v>
      </c>
      <c r="G139">
        <v>1.63</v>
      </c>
      <c r="H139">
        <v>0.71799999999999997</v>
      </c>
      <c r="I139">
        <v>1182</v>
      </c>
    </row>
    <row r="140" spans="1:9" x14ac:dyDescent="0.35">
      <c r="A140" t="s">
        <v>149</v>
      </c>
      <c r="B140" t="s">
        <v>58</v>
      </c>
      <c r="C140">
        <v>-4.7E-2</v>
      </c>
      <c r="D140">
        <v>-0.23699999999999999</v>
      </c>
      <c r="E140">
        <v>0.154</v>
      </c>
      <c r="F140">
        <v>2.3408782307721698E-2</v>
      </c>
      <c r="G140">
        <v>1.44</v>
      </c>
      <c r="H140">
        <v>0.67800000000000005</v>
      </c>
      <c r="I140">
        <v>1181.9000000000001</v>
      </c>
    </row>
    <row r="141" spans="1:9" x14ac:dyDescent="0.35">
      <c r="A141" t="s">
        <v>150</v>
      </c>
      <c r="B141" t="s">
        <v>58</v>
      </c>
      <c r="C141">
        <v>-3.9E-2</v>
      </c>
      <c r="D141">
        <v>-0.253</v>
      </c>
      <c r="E141">
        <v>0.13800000000000001</v>
      </c>
      <c r="F141">
        <v>5.3337045637264997E-2</v>
      </c>
      <c r="G141">
        <v>4.8899999999999997</v>
      </c>
      <c r="H141">
        <v>0.67600000000000005</v>
      </c>
      <c r="I141">
        <v>1181.9000000000001</v>
      </c>
    </row>
    <row r="142" spans="1:9" x14ac:dyDescent="0.35">
      <c r="A142" t="s">
        <v>151</v>
      </c>
      <c r="B142" t="s">
        <v>58</v>
      </c>
      <c r="C142">
        <v>0.32700000000000001</v>
      </c>
      <c r="D142">
        <v>0.14499999999999999</v>
      </c>
      <c r="E142">
        <v>0.49399999999999999</v>
      </c>
      <c r="F142">
        <v>2.1150568696546102E-3</v>
      </c>
      <c r="G142">
        <v>3.88</v>
      </c>
      <c r="H142">
        <v>7.1999999999999995E-2</v>
      </c>
      <c r="I142">
        <v>1178.7</v>
      </c>
    </row>
    <row r="143" spans="1:9" x14ac:dyDescent="0.35">
      <c r="A143" t="s">
        <v>152</v>
      </c>
      <c r="B143" t="s">
        <v>58</v>
      </c>
      <c r="C143">
        <v>7.5999999999999998E-2</v>
      </c>
      <c r="D143">
        <v>-0.15</v>
      </c>
      <c r="E143">
        <v>0.27600000000000002</v>
      </c>
      <c r="F143">
        <v>5.9818502029728299E-2</v>
      </c>
      <c r="G143">
        <v>2.0299999999999998</v>
      </c>
      <c r="H143">
        <v>0.64100000000000001</v>
      </c>
      <c r="I143">
        <v>1181.9000000000001</v>
      </c>
    </row>
    <row r="144" spans="1:9" x14ac:dyDescent="0.35">
      <c r="A144" t="s">
        <v>153</v>
      </c>
      <c r="B144" t="s">
        <v>58</v>
      </c>
      <c r="C144">
        <v>0.18</v>
      </c>
      <c r="D144">
        <v>-8.0000000000000002E-3</v>
      </c>
      <c r="E144">
        <v>0.35899999999999999</v>
      </c>
      <c r="F144">
        <v>1.92024264827306E-2</v>
      </c>
      <c r="G144">
        <v>3.08</v>
      </c>
      <c r="H144">
        <v>0.30199999999999999</v>
      </c>
      <c r="I144">
        <v>1181</v>
      </c>
    </row>
    <row r="145" spans="1:9" x14ac:dyDescent="0.35">
      <c r="A145" t="s">
        <v>154</v>
      </c>
      <c r="B145" t="s">
        <v>58</v>
      </c>
      <c r="C145">
        <v>-0.10100000000000001</v>
      </c>
      <c r="D145">
        <v>-0.28699999999999998</v>
      </c>
      <c r="E145">
        <v>7.4999999999999997E-2</v>
      </c>
      <c r="F145">
        <v>7.7513567983237899E-3</v>
      </c>
      <c r="G145">
        <v>10</v>
      </c>
      <c r="H145">
        <v>0.33400000000000002</v>
      </c>
      <c r="I145">
        <v>1181.0999999999999</v>
      </c>
    </row>
    <row r="146" spans="1:9" x14ac:dyDescent="0.35">
      <c r="A146" t="s">
        <v>155</v>
      </c>
      <c r="B146" t="s">
        <v>58</v>
      </c>
      <c r="C146">
        <v>9.9000000000000005E-2</v>
      </c>
      <c r="D146">
        <v>-0.122</v>
      </c>
      <c r="E146">
        <v>0.3</v>
      </c>
      <c r="F146">
        <v>2.97719032909722E-2</v>
      </c>
      <c r="G146">
        <v>3.48</v>
      </c>
      <c r="H146">
        <v>0.16900000000000001</v>
      </c>
      <c r="I146">
        <v>1180.0999999999999</v>
      </c>
    </row>
    <row r="147" spans="1:9" x14ac:dyDescent="0.35">
      <c r="A147" t="s">
        <v>156</v>
      </c>
      <c r="B147" t="s">
        <v>58</v>
      </c>
      <c r="C147">
        <v>-4.1000000000000002E-2</v>
      </c>
      <c r="D147">
        <v>-0.23200000000000001</v>
      </c>
      <c r="E147">
        <v>0.156</v>
      </c>
      <c r="F147">
        <v>4.7772210911258897E-2</v>
      </c>
      <c r="G147">
        <v>3.4</v>
      </c>
      <c r="H147">
        <v>0.47199999999999998</v>
      </c>
      <c r="I147">
        <v>1181.5999999999999</v>
      </c>
    </row>
    <row r="148" spans="1:9" x14ac:dyDescent="0.35">
      <c r="A148" t="s">
        <v>157</v>
      </c>
      <c r="B148" t="s">
        <v>58</v>
      </c>
      <c r="C148">
        <v>4.1000000000000002E-2</v>
      </c>
      <c r="D148">
        <v>-0.182</v>
      </c>
      <c r="E148">
        <v>0.25</v>
      </c>
      <c r="F148">
        <v>2.6372031125553402E-2</v>
      </c>
      <c r="G148">
        <v>3.66</v>
      </c>
      <c r="H148">
        <v>0.29699999999999999</v>
      </c>
      <c r="I148">
        <v>1181</v>
      </c>
    </row>
    <row r="149" spans="1:9" x14ac:dyDescent="0.35">
      <c r="A149" t="s">
        <v>158</v>
      </c>
      <c r="B149" t="s">
        <v>58</v>
      </c>
      <c r="C149">
        <v>-0.4</v>
      </c>
      <c r="D149">
        <v>-0.56299999999999994</v>
      </c>
      <c r="E149">
        <v>-0.23599999999999999</v>
      </c>
      <c r="F149">
        <v>-6.4881777165030495E-4</v>
      </c>
      <c r="G149">
        <v>-784.05</v>
      </c>
      <c r="H149">
        <v>0.32</v>
      </c>
      <c r="I149">
        <v>1181.0999999999999</v>
      </c>
    </row>
    <row r="150" spans="1:9" x14ac:dyDescent="0.35">
      <c r="A150" t="s">
        <v>159</v>
      </c>
      <c r="B150" t="s">
        <v>58</v>
      </c>
      <c r="C150">
        <v>6.8000000000000005E-2</v>
      </c>
      <c r="D150">
        <v>-0.14099999999999999</v>
      </c>
      <c r="E150">
        <v>0.24299999999999999</v>
      </c>
      <c r="F150">
        <v>0.10570543246919401</v>
      </c>
      <c r="G150">
        <v>2744.74</v>
      </c>
      <c r="H150">
        <v>0.251</v>
      </c>
      <c r="I150">
        <v>1180.7</v>
      </c>
    </row>
    <row r="151" spans="1:9" x14ac:dyDescent="0.35">
      <c r="A151" t="s">
        <v>160</v>
      </c>
      <c r="B151" t="s">
        <v>58</v>
      </c>
      <c r="C151">
        <v>-0.255</v>
      </c>
      <c r="D151">
        <v>-0.39900000000000002</v>
      </c>
      <c r="E151">
        <v>-6.4000000000000001E-2</v>
      </c>
      <c r="F151">
        <v>4.0319776097982499E-2</v>
      </c>
      <c r="G151">
        <v>-0.42</v>
      </c>
      <c r="H151">
        <v>1</v>
      </c>
      <c r="I151">
        <v>1182.0999999999999</v>
      </c>
    </row>
    <row r="152" spans="1:9" x14ac:dyDescent="0.35">
      <c r="A152" t="s">
        <v>161</v>
      </c>
      <c r="B152" t="s">
        <v>58</v>
      </c>
      <c r="C152">
        <v>-0.125</v>
      </c>
      <c r="D152">
        <v>-0.307</v>
      </c>
      <c r="E152">
        <v>5.6000000000000001E-2</v>
      </c>
      <c r="F152">
        <v>8.4495237287364897E-2</v>
      </c>
      <c r="G152">
        <v>1681.79</v>
      </c>
      <c r="H152">
        <v>0.44</v>
      </c>
      <c r="I152">
        <v>1181.5</v>
      </c>
    </row>
    <row r="153" spans="1:9" x14ac:dyDescent="0.35">
      <c r="A153" t="s">
        <v>162</v>
      </c>
      <c r="B153" t="s">
        <v>58</v>
      </c>
      <c r="C153">
        <v>-0.23599999999999999</v>
      </c>
      <c r="D153">
        <v>-0.42199999999999999</v>
      </c>
      <c r="E153">
        <v>-4.9000000000000002E-2</v>
      </c>
      <c r="F153">
        <v>0.102835947653208</v>
      </c>
      <c r="G153">
        <v>-1.65</v>
      </c>
      <c r="H153">
        <v>0</v>
      </c>
      <c r="I153">
        <v>1161.5</v>
      </c>
    </row>
    <row r="154" spans="1:9" x14ac:dyDescent="0.35">
      <c r="A154" t="s">
        <v>163</v>
      </c>
      <c r="B154" t="s">
        <v>58</v>
      </c>
      <c r="C154">
        <v>-0.20399999999999999</v>
      </c>
      <c r="D154">
        <v>-0.42799999999999999</v>
      </c>
      <c r="E154">
        <v>-2E-3</v>
      </c>
      <c r="F154">
        <v>9.5296206955971297E-2</v>
      </c>
      <c r="G154">
        <v>-0.51</v>
      </c>
      <c r="H154">
        <v>1E-3</v>
      </c>
      <c r="I154">
        <v>1171</v>
      </c>
    </row>
    <row r="155" spans="1:9" x14ac:dyDescent="0.35">
      <c r="A155" t="s">
        <v>164</v>
      </c>
      <c r="B155" t="s">
        <v>58</v>
      </c>
      <c r="C155">
        <v>-0.214</v>
      </c>
      <c r="D155">
        <v>-0.39</v>
      </c>
      <c r="E155">
        <v>-8.0000000000000002E-3</v>
      </c>
      <c r="F155">
        <v>9.9070649439934003E-2</v>
      </c>
      <c r="G155">
        <v>-0.88</v>
      </c>
      <c r="H155">
        <v>0</v>
      </c>
      <c r="I155">
        <v>1168.3</v>
      </c>
    </row>
    <row r="156" spans="1:9" x14ac:dyDescent="0.35">
      <c r="A156" t="s">
        <v>165</v>
      </c>
      <c r="B156" t="s">
        <v>58</v>
      </c>
      <c r="C156">
        <v>-0.216</v>
      </c>
      <c r="D156">
        <v>-0.435</v>
      </c>
      <c r="E156">
        <v>8.0000000000000002E-3</v>
      </c>
      <c r="F156">
        <v>9.7403542341632093E-2</v>
      </c>
      <c r="G156">
        <v>-0.69</v>
      </c>
      <c r="H156">
        <v>1E-3</v>
      </c>
      <c r="I156">
        <v>1169.5999999999999</v>
      </c>
    </row>
    <row r="157" spans="1:9" x14ac:dyDescent="0.35">
      <c r="A157" t="s">
        <v>166</v>
      </c>
      <c r="B157" t="s">
        <v>58</v>
      </c>
      <c r="C157">
        <v>-0.252</v>
      </c>
      <c r="D157">
        <v>-0.39100000000000001</v>
      </c>
      <c r="E157">
        <v>-0.108</v>
      </c>
      <c r="F157">
        <v>3.9666778197016299E-2</v>
      </c>
      <c r="G157">
        <v>-0.2</v>
      </c>
      <c r="H157">
        <v>0</v>
      </c>
      <c r="I157">
        <v>1162.5999999999999</v>
      </c>
    </row>
    <row r="158" spans="1:9" x14ac:dyDescent="0.35">
      <c r="A158" t="s">
        <v>167</v>
      </c>
      <c r="B158" t="s">
        <v>58</v>
      </c>
      <c r="C158">
        <v>-5.6000000000000001E-2</v>
      </c>
      <c r="D158">
        <v>-0.23200000000000001</v>
      </c>
      <c r="E158">
        <v>0.11700000000000001</v>
      </c>
      <c r="F158">
        <v>3.0064630284930002E-2</v>
      </c>
      <c r="G158">
        <v>-0.14000000000000001</v>
      </c>
      <c r="H158">
        <v>0</v>
      </c>
      <c r="I158">
        <v>1166.7</v>
      </c>
    </row>
    <row r="159" spans="1:9" x14ac:dyDescent="0.35">
      <c r="A159" t="s">
        <v>168</v>
      </c>
      <c r="B159" t="s">
        <v>58</v>
      </c>
      <c r="C159">
        <v>-0.151</v>
      </c>
      <c r="D159">
        <v>-0.32</v>
      </c>
      <c r="E159">
        <v>1.2999999999999999E-2</v>
      </c>
      <c r="F159">
        <v>3.3633737741494203E-2</v>
      </c>
      <c r="G159">
        <v>-0.17</v>
      </c>
      <c r="H159">
        <v>0</v>
      </c>
      <c r="I159">
        <v>1164.3</v>
      </c>
    </row>
    <row r="160" spans="1:9" x14ac:dyDescent="0.35">
      <c r="A160" t="s">
        <v>169</v>
      </c>
      <c r="B160" t="s">
        <v>58</v>
      </c>
      <c r="C160">
        <v>-0.122</v>
      </c>
      <c r="D160">
        <v>-0.26300000000000001</v>
      </c>
      <c r="E160">
        <v>3.4000000000000002E-2</v>
      </c>
      <c r="F160">
        <v>3.1978707616718997E-2</v>
      </c>
      <c r="G160">
        <v>-0.16</v>
      </c>
      <c r="H160">
        <v>0</v>
      </c>
      <c r="I160">
        <v>1164.4000000000001</v>
      </c>
    </row>
    <row r="161" spans="1:9" x14ac:dyDescent="0.35">
      <c r="A161" t="s">
        <v>170</v>
      </c>
      <c r="B161" t="s">
        <v>58</v>
      </c>
      <c r="C161">
        <v>-0.25700000000000001</v>
      </c>
      <c r="D161">
        <v>-0.38900000000000001</v>
      </c>
      <c r="E161">
        <v>-0.111</v>
      </c>
      <c r="F161">
        <v>3.93230788502439E-2</v>
      </c>
      <c r="G161">
        <v>-0.2</v>
      </c>
      <c r="H161">
        <v>0</v>
      </c>
      <c r="I161">
        <v>1163.3</v>
      </c>
    </row>
    <row r="162" spans="1:9" x14ac:dyDescent="0.35">
      <c r="A162" t="s">
        <v>171</v>
      </c>
      <c r="B162" t="s">
        <v>58</v>
      </c>
      <c r="C162">
        <v>-0.06</v>
      </c>
      <c r="D162">
        <v>-0.20899999999999999</v>
      </c>
      <c r="E162">
        <v>9.9000000000000005E-2</v>
      </c>
      <c r="F162">
        <v>3.1501905809008197E-2</v>
      </c>
      <c r="G162">
        <v>-0.14000000000000001</v>
      </c>
      <c r="H162">
        <v>0</v>
      </c>
      <c r="I162">
        <v>1167.4000000000001</v>
      </c>
    </row>
    <row r="163" spans="1:9" x14ac:dyDescent="0.35">
      <c r="A163" t="s">
        <v>172</v>
      </c>
      <c r="B163" t="s">
        <v>58</v>
      </c>
      <c r="C163">
        <v>-0.154</v>
      </c>
      <c r="D163">
        <v>-0.32400000000000001</v>
      </c>
      <c r="E163">
        <v>0.03</v>
      </c>
      <c r="F163">
        <v>3.4371530438308297E-2</v>
      </c>
      <c r="G163">
        <v>-0.17</v>
      </c>
      <c r="H163">
        <v>0</v>
      </c>
      <c r="I163">
        <v>1165</v>
      </c>
    </row>
    <row r="164" spans="1:9" x14ac:dyDescent="0.35">
      <c r="A164" t="s">
        <v>173</v>
      </c>
      <c r="B164" t="s">
        <v>58</v>
      </c>
      <c r="C164">
        <v>-0.126</v>
      </c>
      <c r="D164">
        <v>-0.32500000000000001</v>
      </c>
      <c r="E164">
        <v>5.2999999999999999E-2</v>
      </c>
      <c r="F164">
        <v>3.3043819759957301E-2</v>
      </c>
      <c r="G164">
        <v>-0.16</v>
      </c>
      <c r="H164">
        <v>0</v>
      </c>
      <c r="I164">
        <v>1165.0999999999999</v>
      </c>
    </row>
    <row r="165" spans="1:9" x14ac:dyDescent="0.35">
      <c r="A165" t="s">
        <v>174</v>
      </c>
      <c r="B165" t="s">
        <v>58</v>
      </c>
      <c r="C165">
        <v>-0.46200000000000002</v>
      </c>
      <c r="D165">
        <v>-0.58699999999999997</v>
      </c>
      <c r="E165">
        <v>-0.29499999999999998</v>
      </c>
      <c r="F165">
        <v>1.03449501476895E-3</v>
      </c>
      <c r="G165">
        <v>0</v>
      </c>
      <c r="H165">
        <v>3.6999999999999998E-2</v>
      </c>
      <c r="I165">
        <v>1177.4000000000001</v>
      </c>
    </row>
    <row r="166" spans="1:9" x14ac:dyDescent="0.35">
      <c r="A166" t="s">
        <v>175</v>
      </c>
      <c r="B166" t="s">
        <v>58</v>
      </c>
      <c r="C166">
        <v>-0.40200000000000002</v>
      </c>
      <c r="D166">
        <v>-0.53500000000000003</v>
      </c>
      <c r="E166">
        <v>-0.26400000000000001</v>
      </c>
      <c r="F166">
        <v>4.1535873934145998E-3</v>
      </c>
      <c r="G166">
        <v>0</v>
      </c>
      <c r="H166">
        <v>0.222</v>
      </c>
      <c r="I166">
        <v>1180.5</v>
      </c>
    </row>
    <row r="167" spans="1:9" x14ac:dyDescent="0.35">
      <c r="A167" t="s">
        <v>176</v>
      </c>
      <c r="B167" t="s">
        <v>58</v>
      </c>
      <c r="C167">
        <v>-0.439</v>
      </c>
      <c r="D167">
        <v>-0.57399999999999995</v>
      </c>
      <c r="E167">
        <v>-0.31900000000000001</v>
      </c>
      <c r="F167">
        <v>2.2229462902358999E-3</v>
      </c>
      <c r="G167">
        <v>0</v>
      </c>
      <c r="H167">
        <v>7.6999999999999999E-2</v>
      </c>
      <c r="I167">
        <v>1178.8</v>
      </c>
    </row>
    <row r="168" spans="1:9" x14ac:dyDescent="0.35">
      <c r="A168" t="s">
        <v>177</v>
      </c>
      <c r="B168" t="s">
        <v>58</v>
      </c>
      <c r="C168">
        <v>-0.42599999999999999</v>
      </c>
      <c r="D168">
        <v>-0.55800000000000005</v>
      </c>
      <c r="E168">
        <v>-0.26700000000000002</v>
      </c>
      <c r="F168">
        <v>2.9161819748684099E-3</v>
      </c>
      <c r="G168">
        <v>0</v>
      </c>
      <c r="H168">
        <v>0.108</v>
      </c>
      <c r="I168">
        <v>1179.4000000000001</v>
      </c>
    </row>
    <row r="169" spans="1:9" x14ac:dyDescent="0.35">
      <c r="A169" t="s">
        <v>178</v>
      </c>
      <c r="B169" t="s">
        <v>58</v>
      </c>
      <c r="C169">
        <v>6.8000000000000005E-2</v>
      </c>
      <c r="D169">
        <v>-0.125</v>
      </c>
      <c r="E169">
        <v>0.25</v>
      </c>
      <c r="F169">
        <v>5.1101075400793996E-3</v>
      </c>
      <c r="G169">
        <v>21.13</v>
      </c>
      <c r="H169">
        <v>0.23400000000000001</v>
      </c>
      <c r="I169">
        <v>1180.5999999999999</v>
      </c>
    </row>
    <row r="170" spans="1:9" x14ac:dyDescent="0.35">
      <c r="A170" t="s">
        <v>179</v>
      </c>
      <c r="B170" t="s">
        <v>58</v>
      </c>
      <c r="C170">
        <v>0.36199999999999999</v>
      </c>
      <c r="D170">
        <v>0.17899999999999999</v>
      </c>
      <c r="E170">
        <v>0.52800000000000002</v>
      </c>
      <c r="F170">
        <v>3.4711398926362498E-4</v>
      </c>
      <c r="G170">
        <v>59.25</v>
      </c>
      <c r="H170">
        <v>8.9999999999999993E-3</v>
      </c>
      <c r="I170">
        <v>1174.9000000000001</v>
      </c>
    </row>
    <row r="171" spans="1:9" x14ac:dyDescent="0.35">
      <c r="A171" t="s">
        <v>180</v>
      </c>
      <c r="B171" t="s">
        <v>58</v>
      </c>
      <c r="C171">
        <v>0.20699999999999999</v>
      </c>
      <c r="D171">
        <v>8.9999999999999993E-3</v>
      </c>
      <c r="E171">
        <v>0.36599999999999999</v>
      </c>
      <c r="F171">
        <v>7.5001070904921197E-3</v>
      </c>
      <c r="G171">
        <v>42.09</v>
      </c>
      <c r="H171">
        <v>0.04</v>
      </c>
      <c r="I171">
        <v>1177.5999999999999</v>
      </c>
    </row>
    <row r="172" spans="1:9" x14ac:dyDescent="0.35">
      <c r="A172" t="s">
        <v>181</v>
      </c>
      <c r="B172" t="s">
        <v>58</v>
      </c>
      <c r="C172">
        <v>0.24299999999999999</v>
      </c>
      <c r="D172">
        <v>6.2E-2</v>
      </c>
      <c r="E172">
        <v>0.38600000000000001</v>
      </c>
      <c r="F172">
        <v>2.42772156794618E-3</v>
      </c>
      <c r="G172">
        <v>47.07</v>
      </c>
      <c r="H172">
        <v>2.9000000000000001E-2</v>
      </c>
      <c r="I172">
        <v>1177</v>
      </c>
    </row>
    <row r="173" spans="1:9" x14ac:dyDescent="0.35">
      <c r="A173" t="s">
        <v>182</v>
      </c>
      <c r="B173" t="s">
        <v>58</v>
      </c>
      <c r="C173">
        <v>7.8E-2</v>
      </c>
      <c r="D173">
        <v>-0.129</v>
      </c>
      <c r="E173">
        <v>0.28899999999999998</v>
      </c>
      <c r="F173">
        <v>1.35894007192586E-2</v>
      </c>
      <c r="G173">
        <v>17.55</v>
      </c>
      <c r="H173">
        <v>0.314</v>
      </c>
      <c r="I173">
        <v>1181</v>
      </c>
    </row>
    <row r="174" spans="1:9" x14ac:dyDescent="0.35">
      <c r="A174" t="s">
        <v>183</v>
      </c>
      <c r="B174" t="s">
        <v>58</v>
      </c>
      <c r="C174">
        <v>0.27200000000000002</v>
      </c>
      <c r="D174">
        <v>0.125</v>
      </c>
      <c r="E174">
        <v>0.40400000000000003</v>
      </c>
      <c r="F174">
        <v>3.7979371999661803E-2</v>
      </c>
      <c r="G174">
        <v>45.99</v>
      </c>
      <c r="H174">
        <v>5.8000000000000003E-2</v>
      </c>
      <c r="I174">
        <v>1178.3</v>
      </c>
    </row>
    <row r="175" spans="1:9" x14ac:dyDescent="0.35">
      <c r="A175" t="s">
        <v>184</v>
      </c>
      <c r="B175" t="s">
        <v>58</v>
      </c>
      <c r="C175">
        <v>0.17199999999999999</v>
      </c>
      <c r="D175">
        <v>-2.8000000000000001E-2</v>
      </c>
      <c r="E175">
        <v>0.36</v>
      </c>
      <c r="F175">
        <v>1.7626689172081499E-2</v>
      </c>
      <c r="G175">
        <v>30.27</v>
      </c>
      <c r="H175">
        <v>0.113</v>
      </c>
      <c r="I175">
        <v>1179.4000000000001</v>
      </c>
    </row>
    <row r="176" spans="1:9" x14ac:dyDescent="0.35">
      <c r="A176" t="s">
        <v>185</v>
      </c>
      <c r="B176" t="s">
        <v>58</v>
      </c>
      <c r="C176">
        <v>0.24399999999999999</v>
      </c>
      <c r="D176">
        <v>5.6000000000000001E-2</v>
      </c>
      <c r="E176">
        <v>0.39700000000000002</v>
      </c>
      <c r="F176">
        <v>1.36192785351821E-2</v>
      </c>
      <c r="G176">
        <v>38.840000000000003</v>
      </c>
      <c r="H176">
        <v>0.06</v>
      </c>
      <c r="I176">
        <v>1178.3</v>
      </c>
    </row>
    <row r="177" spans="1:9" x14ac:dyDescent="0.35">
      <c r="A177" t="s">
        <v>186</v>
      </c>
      <c r="B177" t="s">
        <v>58</v>
      </c>
      <c r="C177">
        <v>4.2999999999999997E-2</v>
      </c>
      <c r="D177">
        <v>-0.14399999999999999</v>
      </c>
      <c r="E177">
        <v>0.24</v>
      </c>
      <c r="F177">
        <v>2.4774875873865801E-2</v>
      </c>
      <c r="G177">
        <v>16.920000000000002</v>
      </c>
      <c r="H177">
        <v>0.32300000000000001</v>
      </c>
      <c r="I177">
        <v>1181.0999999999999</v>
      </c>
    </row>
    <row r="178" spans="1:9" x14ac:dyDescent="0.35">
      <c r="A178" t="s">
        <v>187</v>
      </c>
      <c r="B178" t="s">
        <v>58</v>
      </c>
      <c r="C178">
        <v>0.26100000000000001</v>
      </c>
      <c r="D178">
        <v>0.10199999999999999</v>
      </c>
      <c r="E178">
        <v>0.41199999999999998</v>
      </c>
      <c r="F178">
        <v>4.0435090684346003E-2</v>
      </c>
      <c r="G178">
        <v>46.01</v>
      </c>
      <c r="H178">
        <v>4.7E-2</v>
      </c>
      <c r="I178">
        <v>1177.9000000000001</v>
      </c>
    </row>
    <row r="179" spans="1:9" x14ac:dyDescent="0.35">
      <c r="A179" t="s">
        <v>188</v>
      </c>
      <c r="B179" t="s">
        <v>58</v>
      </c>
      <c r="C179">
        <v>0.218</v>
      </c>
      <c r="D179">
        <v>4.7E-2</v>
      </c>
      <c r="E179">
        <v>0.40500000000000003</v>
      </c>
      <c r="F179">
        <v>1.38343775028766E-2</v>
      </c>
      <c r="G179">
        <v>37</v>
      </c>
      <c r="H179">
        <v>4.7E-2</v>
      </c>
      <c r="I179">
        <v>1177.9000000000001</v>
      </c>
    </row>
    <row r="180" spans="1:9" x14ac:dyDescent="0.35">
      <c r="A180" t="s">
        <v>189</v>
      </c>
      <c r="B180" t="s">
        <v>58</v>
      </c>
      <c r="C180">
        <v>0.22900000000000001</v>
      </c>
      <c r="D180">
        <v>0.06</v>
      </c>
      <c r="E180">
        <v>0.40600000000000003</v>
      </c>
      <c r="F180">
        <v>3.33991114123477E-2</v>
      </c>
      <c r="G180">
        <v>39.159999999999997</v>
      </c>
      <c r="H180">
        <v>0.05</v>
      </c>
      <c r="I180">
        <v>1178</v>
      </c>
    </row>
    <row r="181" spans="1:9" x14ac:dyDescent="0.35">
      <c r="A181" t="s">
        <v>190</v>
      </c>
      <c r="B181" t="s">
        <v>58</v>
      </c>
      <c r="C181">
        <v>6.0999999999999999E-2</v>
      </c>
      <c r="D181">
        <v>-0.15</v>
      </c>
      <c r="E181">
        <v>0.254</v>
      </c>
      <c r="F181">
        <v>2.02796800758854E-2</v>
      </c>
      <c r="G181">
        <v>17.54</v>
      </c>
      <c r="H181">
        <v>0.33300000000000002</v>
      </c>
      <c r="I181">
        <v>1181.0999999999999</v>
      </c>
    </row>
    <row r="182" spans="1:9" x14ac:dyDescent="0.35">
      <c r="A182" t="s">
        <v>191</v>
      </c>
      <c r="B182" t="s">
        <v>58</v>
      </c>
      <c r="C182">
        <v>0.41499999999999998</v>
      </c>
      <c r="D182">
        <v>0.27100000000000002</v>
      </c>
      <c r="E182">
        <v>0.56599999999999995</v>
      </c>
      <c r="F182">
        <v>-3.9607236873233601E-2</v>
      </c>
      <c r="G182">
        <v>56.41</v>
      </c>
      <c r="H182">
        <v>1.0999999999999999E-2</v>
      </c>
      <c r="I182">
        <v>1175.3</v>
      </c>
    </row>
    <row r="183" spans="1:9" x14ac:dyDescent="0.35">
      <c r="A183" t="s">
        <v>192</v>
      </c>
      <c r="B183" t="s">
        <v>58</v>
      </c>
      <c r="C183">
        <v>0.222</v>
      </c>
      <c r="D183">
        <v>1.6E-2</v>
      </c>
      <c r="E183">
        <v>0.39800000000000002</v>
      </c>
      <c r="F183">
        <v>3.48900434932536E-2</v>
      </c>
      <c r="G183">
        <v>33.479999999999997</v>
      </c>
      <c r="H183">
        <v>0.112</v>
      </c>
      <c r="I183">
        <v>1179.4000000000001</v>
      </c>
    </row>
    <row r="184" spans="1:9" x14ac:dyDescent="0.35">
      <c r="A184" t="s">
        <v>193</v>
      </c>
      <c r="B184" t="s">
        <v>58</v>
      </c>
      <c r="C184">
        <v>0.307</v>
      </c>
      <c r="D184">
        <v>0.14199999999999999</v>
      </c>
      <c r="E184">
        <v>0.47899999999999998</v>
      </c>
      <c r="F184">
        <v>-5.9502882366893797E-3</v>
      </c>
      <c r="G184">
        <v>44.22</v>
      </c>
      <c r="H184">
        <v>0.05</v>
      </c>
      <c r="I184">
        <v>1178</v>
      </c>
    </row>
    <row r="185" spans="1:9" x14ac:dyDescent="0.35">
      <c r="A185" t="s">
        <v>194</v>
      </c>
      <c r="B185" t="s">
        <v>58</v>
      </c>
      <c r="C185">
        <v>0.03</v>
      </c>
      <c r="D185">
        <v>-0.17399999999999999</v>
      </c>
      <c r="E185">
        <v>0.20399999999999999</v>
      </c>
      <c r="F185">
        <v>2.09810390409245E-2</v>
      </c>
      <c r="G185">
        <v>22.32</v>
      </c>
      <c r="H185">
        <v>0.183</v>
      </c>
      <c r="I185">
        <v>1180.2</v>
      </c>
    </row>
    <row r="186" spans="1:9" x14ac:dyDescent="0.35">
      <c r="A186" t="s">
        <v>195</v>
      </c>
      <c r="B186" t="s">
        <v>58</v>
      </c>
      <c r="C186">
        <v>0.246</v>
      </c>
      <c r="D186">
        <v>9.7000000000000003E-2</v>
      </c>
      <c r="E186">
        <v>0.39100000000000001</v>
      </c>
      <c r="F186">
        <v>3.5644108433615297E-2</v>
      </c>
      <c r="G186">
        <v>47.93</v>
      </c>
      <c r="H186">
        <v>0.02</v>
      </c>
      <c r="I186">
        <v>1176.3</v>
      </c>
    </row>
    <row r="187" spans="1:9" x14ac:dyDescent="0.35">
      <c r="A187" t="s">
        <v>196</v>
      </c>
      <c r="B187" t="s">
        <v>58</v>
      </c>
      <c r="C187">
        <v>0.161</v>
      </c>
      <c r="D187">
        <v>-3.6999999999999998E-2</v>
      </c>
      <c r="E187">
        <v>0.33800000000000002</v>
      </c>
      <c r="F187">
        <v>1.6706345348506499E-2</v>
      </c>
      <c r="G187">
        <v>39.28</v>
      </c>
      <c r="H187">
        <v>0.03</v>
      </c>
      <c r="I187">
        <v>1177.0999999999999</v>
      </c>
    </row>
    <row r="188" spans="1:9" x14ac:dyDescent="0.35">
      <c r="A188" t="s">
        <v>197</v>
      </c>
      <c r="B188" t="s">
        <v>58</v>
      </c>
      <c r="C188">
        <v>0.216</v>
      </c>
      <c r="D188">
        <v>4.2000000000000003E-2</v>
      </c>
      <c r="E188">
        <v>0.39</v>
      </c>
      <c r="F188">
        <v>2.4842395582670401E-2</v>
      </c>
      <c r="G188">
        <v>44.89</v>
      </c>
      <c r="H188">
        <v>0.02</v>
      </c>
      <c r="I188">
        <v>1176.3</v>
      </c>
    </row>
    <row r="189" spans="1:9" x14ac:dyDescent="0.35">
      <c r="A189" t="s">
        <v>198</v>
      </c>
      <c r="B189" t="s">
        <v>58</v>
      </c>
      <c r="C189">
        <v>-4.4999999999999998E-2</v>
      </c>
      <c r="D189">
        <v>-0.214</v>
      </c>
      <c r="E189">
        <v>0.14699999999999999</v>
      </c>
      <c r="F189">
        <v>4.21317647746507E-2</v>
      </c>
      <c r="G189">
        <v>-20.56</v>
      </c>
      <c r="H189">
        <v>0.84099999999999997</v>
      </c>
      <c r="I189">
        <v>1182.0999999999999</v>
      </c>
    </row>
    <row r="190" spans="1:9" x14ac:dyDescent="0.35">
      <c r="A190" t="s">
        <v>199</v>
      </c>
      <c r="B190" t="s">
        <v>58</v>
      </c>
      <c r="C190">
        <v>-0.14299999999999999</v>
      </c>
      <c r="D190">
        <v>-0.32100000000000001</v>
      </c>
      <c r="E190">
        <v>6.9000000000000006E-2</v>
      </c>
      <c r="F190">
        <v>-2.2589151054327902E-2</v>
      </c>
      <c r="G190">
        <v>-177.31</v>
      </c>
      <c r="H190">
        <v>3.4000000000000002E-2</v>
      </c>
      <c r="I190">
        <v>1177.3</v>
      </c>
    </row>
    <row r="191" spans="1:9" x14ac:dyDescent="0.35">
      <c r="A191" t="s">
        <v>200</v>
      </c>
      <c r="B191" t="s">
        <v>58</v>
      </c>
      <c r="C191">
        <v>-7.0000000000000007E-2</v>
      </c>
      <c r="D191">
        <v>-0.23499999999999999</v>
      </c>
      <c r="E191">
        <v>0.13400000000000001</v>
      </c>
      <c r="F191">
        <v>2.4512746678330501E-2</v>
      </c>
      <c r="G191">
        <v>-66.25</v>
      </c>
      <c r="H191">
        <v>0.47799999999999998</v>
      </c>
      <c r="I191">
        <v>1181.5999999999999</v>
      </c>
    </row>
    <row r="192" spans="1:9" x14ac:dyDescent="0.35">
      <c r="A192" t="s">
        <v>201</v>
      </c>
      <c r="B192" t="s">
        <v>58</v>
      </c>
      <c r="C192">
        <v>-0.129</v>
      </c>
      <c r="D192">
        <v>-0.313</v>
      </c>
      <c r="E192">
        <v>5.1999999999999998E-2</v>
      </c>
      <c r="F192">
        <v>-8.6784299996763205E-3</v>
      </c>
      <c r="G192">
        <v>-134.97999999999999</v>
      </c>
      <c r="H192">
        <v>0.112</v>
      </c>
      <c r="I192">
        <v>1179.4000000000001</v>
      </c>
    </row>
    <row r="193" spans="1:9" x14ac:dyDescent="0.35">
      <c r="A193" t="s">
        <v>202</v>
      </c>
      <c r="B193" t="s">
        <v>58</v>
      </c>
      <c r="C193">
        <v>-0.11799999999999999</v>
      </c>
      <c r="D193">
        <v>-0.315</v>
      </c>
      <c r="E193">
        <v>8.5000000000000006E-2</v>
      </c>
      <c r="F193">
        <v>3.7036833421015297E-2</v>
      </c>
      <c r="G193">
        <v>-91.87</v>
      </c>
      <c r="H193">
        <v>0.42199999999999999</v>
      </c>
      <c r="I193">
        <v>1181.4000000000001</v>
      </c>
    </row>
    <row r="194" spans="1:9" x14ac:dyDescent="0.35">
      <c r="A194" t="s">
        <v>203</v>
      </c>
      <c r="B194" t="s">
        <v>58</v>
      </c>
      <c r="C194">
        <v>-0.14899999999999999</v>
      </c>
      <c r="D194">
        <v>-0.33</v>
      </c>
      <c r="E194">
        <v>6.6000000000000003E-2</v>
      </c>
      <c r="F194">
        <v>-2.2273292537656902E-2</v>
      </c>
      <c r="G194">
        <v>-191.3</v>
      </c>
      <c r="H194">
        <v>0.04</v>
      </c>
      <c r="I194">
        <v>1177.5999999999999</v>
      </c>
    </row>
    <row r="195" spans="1:9" x14ac:dyDescent="0.35">
      <c r="A195" t="s">
        <v>204</v>
      </c>
      <c r="B195" t="s">
        <v>58</v>
      </c>
      <c r="C195">
        <v>-0.11899999999999999</v>
      </c>
      <c r="D195">
        <v>-0.312</v>
      </c>
      <c r="E195">
        <v>9.5000000000000001E-2</v>
      </c>
      <c r="F195">
        <v>5.8216306174330497E-2</v>
      </c>
      <c r="G195">
        <v>-123.18</v>
      </c>
      <c r="H195">
        <v>0.24299999999999999</v>
      </c>
      <c r="I195">
        <v>1180.7</v>
      </c>
    </row>
    <row r="196" spans="1:9" x14ac:dyDescent="0.35">
      <c r="A196" t="s">
        <v>205</v>
      </c>
      <c r="B196" t="s">
        <v>58</v>
      </c>
      <c r="C196">
        <v>-0.17299999999999999</v>
      </c>
      <c r="D196">
        <v>-0.38</v>
      </c>
      <c r="E196">
        <v>-1E-3</v>
      </c>
      <c r="F196">
        <v>3.3665129423523503E-2</v>
      </c>
      <c r="G196">
        <v>-195.82</v>
      </c>
      <c r="H196">
        <v>4.2000000000000003E-2</v>
      </c>
      <c r="I196">
        <v>1177.7</v>
      </c>
    </row>
    <row r="197" spans="1:9" x14ac:dyDescent="0.35">
      <c r="A197" t="s">
        <v>206</v>
      </c>
      <c r="B197" t="s">
        <v>58</v>
      </c>
      <c r="C197">
        <v>-0.14699999999999999</v>
      </c>
      <c r="D197">
        <v>-0.35399999999999998</v>
      </c>
      <c r="E197">
        <v>0.06</v>
      </c>
      <c r="F197">
        <v>6.8029842815244702E-3</v>
      </c>
      <c r="G197">
        <v>-110.86</v>
      </c>
      <c r="H197">
        <v>0.40300000000000002</v>
      </c>
      <c r="I197">
        <v>1181.4000000000001</v>
      </c>
    </row>
    <row r="198" spans="1:9" x14ac:dyDescent="0.35">
      <c r="A198" t="s">
        <v>207</v>
      </c>
      <c r="B198" t="s">
        <v>58</v>
      </c>
      <c r="C198">
        <v>-0.14699999999999999</v>
      </c>
      <c r="D198">
        <v>-0.33500000000000002</v>
      </c>
      <c r="E198">
        <v>6.4000000000000001E-2</v>
      </c>
      <c r="F198">
        <v>4.7892254584068197E-3</v>
      </c>
      <c r="G198">
        <v>-220.85</v>
      </c>
      <c r="H198">
        <v>3.9E-2</v>
      </c>
      <c r="I198">
        <v>1177.5999999999999</v>
      </c>
    </row>
    <row r="199" spans="1:9" x14ac:dyDescent="0.35">
      <c r="A199" t="s">
        <v>208</v>
      </c>
      <c r="B199" t="s">
        <v>58</v>
      </c>
      <c r="C199">
        <v>-0.11700000000000001</v>
      </c>
      <c r="D199">
        <v>-0.29899999999999999</v>
      </c>
      <c r="E199">
        <v>0.109</v>
      </c>
      <c r="F199">
        <v>6.0106883549383899E-2</v>
      </c>
      <c r="G199">
        <v>-128.47999999999999</v>
      </c>
      <c r="H199">
        <v>0.24199999999999999</v>
      </c>
      <c r="I199">
        <v>1180.7</v>
      </c>
    </row>
    <row r="200" spans="1:9" x14ac:dyDescent="0.35">
      <c r="A200" t="s">
        <v>209</v>
      </c>
      <c r="B200" t="s">
        <v>58</v>
      </c>
      <c r="C200">
        <v>-0.193</v>
      </c>
      <c r="D200">
        <v>-0.38300000000000001</v>
      </c>
      <c r="E200">
        <v>-2E-3</v>
      </c>
      <c r="F200">
        <v>3.3261914447527997E-2</v>
      </c>
      <c r="G200">
        <v>-219.89</v>
      </c>
      <c r="H200">
        <v>3.4000000000000002E-2</v>
      </c>
      <c r="I200">
        <v>1177.3</v>
      </c>
    </row>
    <row r="201" spans="1:9" x14ac:dyDescent="0.35">
      <c r="A201" t="s">
        <v>210</v>
      </c>
      <c r="B201" t="s">
        <v>58</v>
      </c>
      <c r="C201">
        <v>-8.0000000000000002E-3</v>
      </c>
      <c r="D201">
        <v>-0.219</v>
      </c>
      <c r="E201">
        <v>0.158</v>
      </c>
      <c r="F201">
        <v>3.44452413459303E-2</v>
      </c>
      <c r="G201">
        <v>-17.04</v>
      </c>
      <c r="H201">
        <v>0.84299999999999997</v>
      </c>
      <c r="I201">
        <v>1182.0999999999999</v>
      </c>
    </row>
    <row r="202" spans="1:9" x14ac:dyDescent="0.35">
      <c r="A202" t="s">
        <v>211</v>
      </c>
      <c r="B202" t="s">
        <v>58</v>
      </c>
      <c r="C202">
        <v>4.8000000000000001E-2</v>
      </c>
      <c r="D202">
        <v>-0.121</v>
      </c>
      <c r="E202">
        <v>0.222</v>
      </c>
      <c r="F202">
        <v>-3.45366088536549E-3</v>
      </c>
      <c r="G202">
        <v>-72.77</v>
      </c>
      <c r="H202">
        <v>0.26200000000000001</v>
      </c>
      <c r="I202">
        <v>1180.8</v>
      </c>
    </row>
    <row r="203" spans="1:9" x14ac:dyDescent="0.35">
      <c r="A203" t="s">
        <v>212</v>
      </c>
      <c r="B203" t="s">
        <v>58</v>
      </c>
      <c r="C203">
        <v>-1.7999999999999999E-2</v>
      </c>
      <c r="D203">
        <v>-0.21199999999999999</v>
      </c>
      <c r="E203">
        <v>0.191</v>
      </c>
      <c r="F203">
        <v>4.4922889838263202E-2</v>
      </c>
      <c r="G203">
        <v>-65.66</v>
      </c>
      <c r="H203">
        <v>0.40400000000000003</v>
      </c>
      <c r="I203">
        <v>1181.4000000000001</v>
      </c>
    </row>
    <row r="204" spans="1:9" x14ac:dyDescent="0.35">
      <c r="A204" t="s">
        <v>213</v>
      </c>
      <c r="B204" t="s">
        <v>58</v>
      </c>
      <c r="C204">
        <v>-2.1999999999999999E-2</v>
      </c>
      <c r="D204">
        <v>-0.19500000000000001</v>
      </c>
      <c r="E204">
        <v>0.13</v>
      </c>
      <c r="F204">
        <v>4.6342693412770404E-3</v>
      </c>
      <c r="G204">
        <v>-74.069999999999993</v>
      </c>
      <c r="H204">
        <v>0.26600000000000001</v>
      </c>
      <c r="I204">
        <v>1180.8</v>
      </c>
    </row>
    <row r="205" spans="1:9" x14ac:dyDescent="0.35">
      <c r="A205" t="s">
        <v>214</v>
      </c>
      <c r="B205" t="s">
        <v>58</v>
      </c>
      <c r="C205">
        <v>-0.153</v>
      </c>
      <c r="D205">
        <v>-0.33600000000000002</v>
      </c>
      <c r="E205">
        <v>0.06</v>
      </c>
      <c r="F205">
        <v>1.0129134877667799E-2</v>
      </c>
      <c r="G205">
        <v>-68</v>
      </c>
      <c r="H205">
        <v>0.67400000000000004</v>
      </c>
      <c r="I205">
        <v>1181.9000000000001</v>
      </c>
    </row>
    <row r="206" spans="1:9" x14ac:dyDescent="0.35">
      <c r="A206" t="s">
        <v>215</v>
      </c>
      <c r="B206" t="s">
        <v>58</v>
      </c>
      <c r="C206">
        <v>-8.0000000000000002E-3</v>
      </c>
      <c r="D206">
        <v>-0.17799999999999999</v>
      </c>
      <c r="E206">
        <v>0.16200000000000001</v>
      </c>
      <c r="F206">
        <v>4.7839639740318698E-2</v>
      </c>
      <c r="G206">
        <v>-162.65</v>
      </c>
      <c r="H206">
        <v>0.186</v>
      </c>
      <c r="I206">
        <v>1180.2</v>
      </c>
    </row>
    <row r="207" spans="1:9" x14ac:dyDescent="0.35">
      <c r="A207" t="s">
        <v>216</v>
      </c>
      <c r="B207" t="s">
        <v>58</v>
      </c>
      <c r="C207">
        <v>-8.6999999999999994E-2</v>
      </c>
      <c r="D207">
        <v>-0.26100000000000001</v>
      </c>
      <c r="E207">
        <v>9.5000000000000001E-2</v>
      </c>
      <c r="F207">
        <v>7.7985543415553901E-2</v>
      </c>
      <c r="G207">
        <v>-63.29</v>
      </c>
      <c r="H207">
        <v>0.626</v>
      </c>
      <c r="I207">
        <v>1181.9000000000001</v>
      </c>
    </row>
    <row r="208" spans="1:9" x14ac:dyDescent="0.35">
      <c r="A208" t="s">
        <v>217</v>
      </c>
      <c r="B208" t="s">
        <v>58</v>
      </c>
      <c r="C208">
        <v>5.8999999999999997E-2</v>
      </c>
      <c r="D208">
        <v>-0.121</v>
      </c>
      <c r="E208">
        <v>0.248</v>
      </c>
      <c r="F208">
        <v>3.8724880324969402E-2</v>
      </c>
      <c r="G208">
        <v>-60.4</v>
      </c>
      <c r="H208">
        <v>0.61099999999999999</v>
      </c>
      <c r="I208">
        <v>1181.8</v>
      </c>
    </row>
    <row r="209" spans="1:9" x14ac:dyDescent="0.35">
      <c r="A209" t="s">
        <v>218</v>
      </c>
      <c r="B209" t="s">
        <v>58</v>
      </c>
      <c r="C209">
        <v>-0.53500000000000003</v>
      </c>
      <c r="D209">
        <v>-0.63500000000000001</v>
      </c>
      <c r="E209">
        <v>-0.42699999999999999</v>
      </c>
      <c r="F209">
        <v>1.5862737043216E-3</v>
      </c>
      <c r="G209">
        <v>-304.20999999999998</v>
      </c>
      <c r="H209">
        <v>3.0000000000000001E-3</v>
      </c>
      <c r="I209">
        <v>1172.4000000000001</v>
      </c>
    </row>
    <row r="210" spans="1:9" x14ac:dyDescent="0.35">
      <c r="A210" t="s">
        <v>219</v>
      </c>
      <c r="B210" t="s">
        <v>58</v>
      </c>
      <c r="C210">
        <v>0.215</v>
      </c>
      <c r="D210">
        <v>-1.0999999999999999E-2</v>
      </c>
      <c r="E210">
        <v>0.41499999999999998</v>
      </c>
      <c r="F210">
        <v>6.0916692463128197E-2</v>
      </c>
      <c r="G210">
        <v>784.64</v>
      </c>
      <c r="H210">
        <v>7.0000000000000007E-2</v>
      </c>
      <c r="I210">
        <v>1178.5999999999999</v>
      </c>
    </row>
    <row r="211" spans="1:9" x14ac:dyDescent="0.35">
      <c r="A211" t="s">
        <v>220</v>
      </c>
      <c r="B211" t="s">
        <v>58</v>
      </c>
      <c r="C211">
        <v>-7.6999999999999999E-2</v>
      </c>
      <c r="D211">
        <v>-0.23899999999999999</v>
      </c>
      <c r="E211">
        <v>9.6000000000000002E-2</v>
      </c>
      <c r="F211">
        <v>3.5588383737208101E-2</v>
      </c>
      <c r="G211">
        <v>191.1</v>
      </c>
      <c r="H211">
        <v>0.35799999999999998</v>
      </c>
      <c r="I211">
        <v>1181.2</v>
      </c>
    </row>
    <row r="212" spans="1:9" x14ac:dyDescent="0.35">
      <c r="A212" t="s">
        <v>221</v>
      </c>
      <c r="B212" t="s">
        <v>58</v>
      </c>
      <c r="C212">
        <v>0.113</v>
      </c>
      <c r="D212">
        <v>-0.115</v>
      </c>
      <c r="E212">
        <v>0.313</v>
      </c>
      <c r="F212">
        <v>5.7887723555404898E-2</v>
      </c>
      <c r="G212">
        <v>533.48</v>
      </c>
      <c r="H212">
        <v>8.4000000000000005E-2</v>
      </c>
      <c r="I212">
        <v>1178.9000000000001</v>
      </c>
    </row>
    <row r="213" spans="1:9" x14ac:dyDescent="0.35">
      <c r="A213" t="s">
        <v>222</v>
      </c>
      <c r="B213" t="s">
        <v>58</v>
      </c>
      <c r="C213">
        <v>-0.33700000000000002</v>
      </c>
      <c r="D213">
        <v>-0.47399999999999998</v>
      </c>
      <c r="E213">
        <v>-0.16200000000000001</v>
      </c>
      <c r="F213">
        <v>9.8594884623270498E-2</v>
      </c>
      <c r="G213">
        <v>-307.52</v>
      </c>
      <c r="H213">
        <v>0.24299999999999999</v>
      </c>
      <c r="I213">
        <v>1180.7</v>
      </c>
    </row>
    <row r="214" spans="1:9" x14ac:dyDescent="0.35">
      <c r="A214" t="s">
        <v>223</v>
      </c>
      <c r="B214" t="s">
        <v>58</v>
      </c>
      <c r="C214">
        <v>-0.20899999999999999</v>
      </c>
      <c r="D214">
        <v>-0.35799999999999998</v>
      </c>
      <c r="E214">
        <v>-2.4E-2</v>
      </c>
      <c r="F214">
        <v>0.127501078787398</v>
      </c>
      <c r="G214">
        <v>-373.72</v>
      </c>
      <c r="H214">
        <v>0.153</v>
      </c>
      <c r="I214">
        <v>1179.9000000000001</v>
      </c>
    </row>
    <row r="215" spans="1:9" x14ac:dyDescent="0.35">
      <c r="A215" t="s">
        <v>224</v>
      </c>
      <c r="B215" t="s">
        <v>58</v>
      </c>
      <c r="C215">
        <v>-0.27100000000000002</v>
      </c>
      <c r="D215">
        <v>-0.442</v>
      </c>
      <c r="E215">
        <v>-8.5999999999999993E-2</v>
      </c>
      <c r="F215">
        <v>0.11160873479191501</v>
      </c>
      <c r="G215">
        <v>-316.26</v>
      </c>
      <c r="H215">
        <v>0.252</v>
      </c>
      <c r="I215">
        <v>1180.7</v>
      </c>
    </row>
    <row r="216" spans="1:9" x14ac:dyDescent="0.35">
      <c r="A216" t="s">
        <v>225</v>
      </c>
      <c r="B216" t="s">
        <v>58</v>
      </c>
      <c r="C216">
        <v>-0.27100000000000002</v>
      </c>
      <c r="D216">
        <v>-0.44800000000000001</v>
      </c>
      <c r="E216">
        <v>-8.7999999999999995E-2</v>
      </c>
      <c r="F216">
        <v>0.119095633362977</v>
      </c>
      <c r="G216">
        <v>-386.03</v>
      </c>
      <c r="H216">
        <v>0.154</v>
      </c>
      <c r="I216">
        <v>1179.9000000000001</v>
      </c>
    </row>
    <row r="217" spans="1:9" x14ac:dyDescent="0.35">
      <c r="A217" t="s">
        <v>226</v>
      </c>
      <c r="B217" t="s">
        <v>58</v>
      </c>
      <c r="C217">
        <v>-0.159</v>
      </c>
      <c r="D217">
        <v>-0.35599999999999998</v>
      </c>
      <c r="E217">
        <v>8.0000000000000002E-3</v>
      </c>
      <c r="F217">
        <v>6.3793145324266304E-2</v>
      </c>
      <c r="G217">
        <v>-861.06</v>
      </c>
      <c r="H217">
        <v>0.32400000000000001</v>
      </c>
      <c r="I217">
        <v>1181.0999999999999</v>
      </c>
    </row>
    <row r="218" spans="1:9" x14ac:dyDescent="0.35">
      <c r="A218" t="s">
        <v>227</v>
      </c>
      <c r="B218" t="s">
        <v>58</v>
      </c>
      <c r="C218">
        <v>0.10299999999999999</v>
      </c>
      <c r="D218">
        <v>-8.8999999999999996E-2</v>
      </c>
      <c r="E218">
        <v>0.32800000000000001</v>
      </c>
      <c r="F218">
        <v>-6.3610723365744E-3</v>
      </c>
      <c r="G218">
        <v>-615.74</v>
      </c>
      <c r="H218">
        <v>0.52700000000000002</v>
      </c>
      <c r="I218">
        <v>1181.7</v>
      </c>
    </row>
    <row r="219" spans="1:9" x14ac:dyDescent="0.35">
      <c r="A219" t="s">
        <v>228</v>
      </c>
      <c r="B219" t="s">
        <v>58</v>
      </c>
      <c r="C219">
        <v>1.2999999999999999E-2</v>
      </c>
      <c r="D219">
        <v>-0.219</v>
      </c>
      <c r="E219">
        <v>0.216</v>
      </c>
      <c r="F219">
        <v>1.25807857361747E-2</v>
      </c>
      <c r="G219">
        <v>-912.4</v>
      </c>
      <c r="H219">
        <v>0.35599999999999998</v>
      </c>
      <c r="I219">
        <v>1181.2</v>
      </c>
    </row>
    <row r="220" spans="1:9" x14ac:dyDescent="0.35">
      <c r="A220" t="s">
        <v>229</v>
      </c>
      <c r="B220" t="s">
        <v>58</v>
      </c>
      <c r="C220">
        <v>6.2E-2</v>
      </c>
      <c r="D220">
        <v>-0.14799999999999999</v>
      </c>
      <c r="E220">
        <v>0.28699999999999998</v>
      </c>
      <c r="F220">
        <v>9.4390649249840395E-3</v>
      </c>
      <c r="G220">
        <v>-817.76</v>
      </c>
      <c r="H220">
        <v>0.41099999999999998</v>
      </c>
      <c r="I220">
        <v>1181.4000000000001</v>
      </c>
    </row>
    <row r="221" spans="1:9" x14ac:dyDescent="0.35">
      <c r="A221" t="s">
        <v>230</v>
      </c>
      <c r="B221" t="s">
        <v>58</v>
      </c>
      <c r="C221">
        <v>0.129</v>
      </c>
      <c r="D221">
        <v>-4.5999999999999999E-2</v>
      </c>
      <c r="E221">
        <v>0.29399999999999998</v>
      </c>
      <c r="F221">
        <v>9.7385670358872106E-2</v>
      </c>
      <c r="G221">
        <v>842.87</v>
      </c>
      <c r="H221">
        <v>0.53</v>
      </c>
      <c r="I221">
        <v>1181.7</v>
      </c>
    </row>
    <row r="222" spans="1:9" x14ac:dyDescent="0.35">
      <c r="A222" t="s">
        <v>231</v>
      </c>
      <c r="B222" t="s">
        <v>58</v>
      </c>
      <c r="C222">
        <v>0.27200000000000002</v>
      </c>
      <c r="D222">
        <v>0.10299999999999999</v>
      </c>
      <c r="E222">
        <v>0.45300000000000001</v>
      </c>
      <c r="F222">
        <v>1.38294714152595E-2</v>
      </c>
      <c r="G222">
        <v>649.89</v>
      </c>
      <c r="H222">
        <v>0.69099999999999995</v>
      </c>
      <c r="I222">
        <v>1182</v>
      </c>
    </row>
    <row r="223" spans="1:9" x14ac:dyDescent="0.35">
      <c r="A223" t="s">
        <v>232</v>
      </c>
      <c r="B223" t="s">
        <v>58</v>
      </c>
      <c r="C223">
        <v>0.27200000000000002</v>
      </c>
      <c r="D223">
        <v>0.108</v>
      </c>
      <c r="E223">
        <v>0.436</v>
      </c>
      <c r="F223">
        <v>3.9667730625211103E-2</v>
      </c>
      <c r="G223">
        <v>1070.8499999999999</v>
      </c>
      <c r="H223">
        <v>0.55500000000000005</v>
      </c>
      <c r="I223">
        <v>1181.8</v>
      </c>
    </row>
    <row r="224" spans="1:9" x14ac:dyDescent="0.35">
      <c r="A224" t="s">
        <v>233</v>
      </c>
      <c r="B224" t="s">
        <v>58</v>
      </c>
      <c r="C224">
        <v>0.27100000000000002</v>
      </c>
      <c r="D224">
        <v>0.10100000000000001</v>
      </c>
      <c r="E224">
        <v>0.42299999999999999</v>
      </c>
      <c r="F224">
        <v>3.4790298173451903E-2</v>
      </c>
      <c r="G224">
        <v>791.98</v>
      </c>
      <c r="H224">
        <v>0.65200000000000002</v>
      </c>
      <c r="I224">
        <v>1181.9000000000001</v>
      </c>
    </row>
    <row r="225" spans="1:9" x14ac:dyDescent="0.35">
      <c r="A225" t="s">
        <v>234</v>
      </c>
      <c r="B225" t="s">
        <v>58</v>
      </c>
      <c r="C225">
        <v>0.20100000000000001</v>
      </c>
      <c r="D225">
        <v>2.5999999999999999E-2</v>
      </c>
      <c r="E225">
        <v>0.35</v>
      </c>
      <c r="F225">
        <v>-7.2961897181283999E-2</v>
      </c>
      <c r="G225">
        <v>68599.240000000005</v>
      </c>
      <c r="H225">
        <v>0.16200000000000001</v>
      </c>
      <c r="I225">
        <v>1180</v>
      </c>
    </row>
    <row r="226" spans="1:9" x14ac:dyDescent="0.35">
      <c r="A226" t="s">
        <v>235</v>
      </c>
      <c r="B226" t="s">
        <v>58</v>
      </c>
      <c r="C226">
        <v>0.08</v>
      </c>
      <c r="D226">
        <v>-8.4000000000000005E-2</v>
      </c>
      <c r="E226">
        <v>0.26100000000000001</v>
      </c>
      <c r="F226">
        <v>2.9616428164850699E-2</v>
      </c>
      <c r="G226">
        <v>4181.22</v>
      </c>
      <c r="H226">
        <v>0.48099999999999998</v>
      </c>
      <c r="I226">
        <v>1181.5999999999999</v>
      </c>
    </row>
    <row r="227" spans="1:9" x14ac:dyDescent="0.35">
      <c r="A227" t="s">
        <v>236</v>
      </c>
      <c r="B227" t="s">
        <v>58</v>
      </c>
      <c r="C227">
        <v>2E-3</v>
      </c>
      <c r="D227">
        <v>-0.19700000000000001</v>
      </c>
      <c r="E227">
        <v>0.20499999999999999</v>
      </c>
      <c r="F227">
        <v>7.7968532925641904E-2</v>
      </c>
      <c r="G227">
        <v>-5013.92</v>
      </c>
      <c r="H227">
        <v>0.73899999999999999</v>
      </c>
      <c r="I227">
        <v>1182</v>
      </c>
    </row>
    <row r="228" spans="1:9" x14ac:dyDescent="0.35">
      <c r="A228" t="s">
        <v>237</v>
      </c>
      <c r="B228" t="s">
        <v>58</v>
      </c>
      <c r="C228">
        <v>-1E-3</v>
      </c>
      <c r="D228">
        <v>-0.20399999999999999</v>
      </c>
      <c r="E228">
        <v>0.23599999999999999</v>
      </c>
      <c r="F228">
        <v>0.101576379993984</v>
      </c>
      <c r="G228">
        <v>-882.29</v>
      </c>
      <c r="H228">
        <v>0.91800000000000004</v>
      </c>
      <c r="I228">
        <v>1182.0999999999999</v>
      </c>
    </row>
    <row r="229" spans="1:9" x14ac:dyDescent="0.35">
      <c r="A229" t="s">
        <v>238</v>
      </c>
      <c r="B229" t="s">
        <v>58</v>
      </c>
      <c r="C229">
        <v>-6.0000000000000001E-3</v>
      </c>
      <c r="D229">
        <v>-0.2</v>
      </c>
      <c r="E229">
        <v>0.182</v>
      </c>
      <c r="F229">
        <v>3.8727842441731498E-3</v>
      </c>
      <c r="G229">
        <v>2.1</v>
      </c>
      <c r="H229">
        <v>0.98499999999999999</v>
      </c>
      <c r="I229">
        <v>1182.0999999999999</v>
      </c>
    </row>
    <row r="230" spans="1:9" x14ac:dyDescent="0.35">
      <c r="A230" t="s">
        <v>239</v>
      </c>
      <c r="B230" t="s">
        <v>58</v>
      </c>
      <c r="C230">
        <v>0.27600000000000002</v>
      </c>
      <c r="D230">
        <v>0.08</v>
      </c>
      <c r="E230">
        <v>0.45500000000000002</v>
      </c>
      <c r="F230">
        <v>-4.0353598634358797E-3</v>
      </c>
      <c r="G230">
        <v>118.78</v>
      </c>
      <c r="H230">
        <v>0.376</v>
      </c>
      <c r="I230">
        <v>1181.3</v>
      </c>
    </row>
    <row r="231" spans="1:9" x14ac:dyDescent="0.35">
      <c r="A231" t="s">
        <v>240</v>
      </c>
      <c r="B231" t="s">
        <v>58</v>
      </c>
      <c r="C231">
        <v>0.13100000000000001</v>
      </c>
      <c r="D231">
        <v>-7.4999999999999997E-2</v>
      </c>
      <c r="E231">
        <v>0.30299999999999999</v>
      </c>
      <c r="F231">
        <v>1.9482102892198301E-3</v>
      </c>
      <c r="G231">
        <v>76.83</v>
      </c>
      <c r="H231">
        <v>0.53200000000000003</v>
      </c>
      <c r="I231">
        <v>1181.7</v>
      </c>
    </row>
    <row r="232" spans="1:9" x14ac:dyDescent="0.35">
      <c r="A232" t="s">
        <v>241</v>
      </c>
      <c r="B232" t="s">
        <v>58</v>
      </c>
      <c r="C232">
        <v>0.183</v>
      </c>
      <c r="D232">
        <v>-8.0000000000000002E-3</v>
      </c>
      <c r="E232">
        <v>0.35899999999999999</v>
      </c>
      <c r="F232">
        <v>-6.4155107253707202E-3</v>
      </c>
      <c r="G232">
        <v>76.540000000000006</v>
      </c>
      <c r="H232">
        <v>0.54300000000000004</v>
      </c>
      <c r="I232">
        <v>1181.7</v>
      </c>
    </row>
    <row r="233" spans="1:9" x14ac:dyDescent="0.35">
      <c r="A233" t="s">
        <v>242</v>
      </c>
      <c r="B233" t="s">
        <v>58</v>
      </c>
      <c r="C233">
        <v>-1.7999999999999999E-2</v>
      </c>
      <c r="D233">
        <v>-0.24099999999999999</v>
      </c>
      <c r="E233">
        <v>0.17399999999999999</v>
      </c>
      <c r="F233">
        <v>1.72452219783371E-2</v>
      </c>
      <c r="G233">
        <v>-49.73</v>
      </c>
      <c r="H233">
        <v>0.68600000000000005</v>
      </c>
      <c r="I233">
        <v>1181.9000000000001</v>
      </c>
    </row>
    <row r="234" spans="1:9" x14ac:dyDescent="0.35">
      <c r="A234" t="s">
        <v>243</v>
      </c>
      <c r="B234" t="s">
        <v>58</v>
      </c>
      <c r="C234">
        <v>0.105</v>
      </c>
      <c r="D234">
        <v>-5.6000000000000001E-2</v>
      </c>
      <c r="E234">
        <v>0.27400000000000002</v>
      </c>
      <c r="F234">
        <v>6.1271333663368399E-2</v>
      </c>
      <c r="G234">
        <v>-48.98</v>
      </c>
      <c r="H234">
        <v>0.72699999999999998</v>
      </c>
      <c r="I234">
        <v>1182</v>
      </c>
    </row>
    <row r="235" spans="1:9" x14ac:dyDescent="0.35">
      <c r="A235" t="s">
        <v>244</v>
      </c>
      <c r="B235" t="s">
        <v>58</v>
      </c>
      <c r="C235">
        <v>0.04</v>
      </c>
      <c r="D235">
        <v>-0.16700000000000001</v>
      </c>
      <c r="E235">
        <v>0.21299999999999999</v>
      </c>
      <c r="F235">
        <v>1.6956299185273301E-2</v>
      </c>
      <c r="G235">
        <v>-32.049999999999997</v>
      </c>
      <c r="H235">
        <v>0.79500000000000004</v>
      </c>
      <c r="I235">
        <v>1182.0999999999999</v>
      </c>
    </row>
    <row r="236" spans="1:9" x14ac:dyDescent="0.35">
      <c r="A236" t="s">
        <v>245</v>
      </c>
      <c r="B236" t="s">
        <v>58</v>
      </c>
      <c r="C236">
        <v>0.13700000000000001</v>
      </c>
      <c r="D236">
        <v>-6.2E-2</v>
      </c>
      <c r="E236">
        <v>0.33700000000000002</v>
      </c>
      <c r="F236">
        <v>1.1891407745860399E-2</v>
      </c>
      <c r="G236">
        <v>-12.23</v>
      </c>
      <c r="H236">
        <v>0.92700000000000005</v>
      </c>
      <c r="I236">
        <v>1182.0999999999999</v>
      </c>
    </row>
    <row r="237" spans="1:9" x14ac:dyDescent="0.35">
      <c r="A237" t="s">
        <v>246</v>
      </c>
      <c r="B237" t="s">
        <v>58</v>
      </c>
      <c r="C237">
        <v>-5.7000000000000002E-2</v>
      </c>
      <c r="D237">
        <v>-0.246</v>
      </c>
      <c r="E237">
        <v>0.17100000000000001</v>
      </c>
      <c r="F237">
        <v>3.15229771313109E-2</v>
      </c>
      <c r="G237">
        <v>-61.87</v>
      </c>
      <c r="H237">
        <v>0.63700000000000001</v>
      </c>
      <c r="I237">
        <v>1181.9000000000001</v>
      </c>
    </row>
    <row r="238" spans="1:9" x14ac:dyDescent="0.35">
      <c r="A238" t="s">
        <v>247</v>
      </c>
      <c r="B238" t="s">
        <v>58</v>
      </c>
      <c r="C238">
        <v>8.7999999999999995E-2</v>
      </c>
      <c r="D238">
        <v>-9.9000000000000005E-2</v>
      </c>
      <c r="E238">
        <v>0.254</v>
      </c>
      <c r="F238">
        <v>5.9850724248408697E-2</v>
      </c>
      <c r="G238">
        <v>-10.63</v>
      </c>
      <c r="H238">
        <v>0.94</v>
      </c>
      <c r="I238">
        <v>1182.0999999999999</v>
      </c>
    </row>
    <row r="239" spans="1:9" x14ac:dyDescent="0.35">
      <c r="A239" t="s">
        <v>248</v>
      </c>
      <c r="B239" t="s">
        <v>58</v>
      </c>
      <c r="C239">
        <v>0.11899999999999999</v>
      </c>
      <c r="D239">
        <v>-7.0000000000000007E-2</v>
      </c>
      <c r="E239">
        <v>0.32900000000000001</v>
      </c>
      <c r="F239">
        <v>1.19740979318825E-2</v>
      </c>
      <c r="G239">
        <v>34.86</v>
      </c>
      <c r="H239">
        <v>0.79900000000000004</v>
      </c>
      <c r="I239">
        <v>1182.0999999999999</v>
      </c>
    </row>
    <row r="240" spans="1:9" x14ac:dyDescent="0.35">
      <c r="A240" t="s">
        <v>249</v>
      </c>
      <c r="B240" t="s">
        <v>58</v>
      </c>
      <c r="C240">
        <v>8.5999999999999993E-2</v>
      </c>
      <c r="D240">
        <v>-0.123</v>
      </c>
      <c r="E240">
        <v>0.27400000000000002</v>
      </c>
      <c r="F240">
        <v>4.8666074317408402E-2</v>
      </c>
      <c r="G240">
        <v>-42.41</v>
      </c>
      <c r="H240">
        <v>0.76600000000000001</v>
      </c>
      <c r="I240">
        <v>1182</v>
      </c>
    </row>
    <row r="241" spans="1:9" x14ac:dyDescent="0.35">
      <c r="A241" t="s">
        <v>250</v>
      </c>
      <c r="B241" t="s">
        <v>58</v>
      </c>
      <c r="C241">
        <v>1.7000000000000001E-2</v>
      </c>
      <c r="D241">
        <v>-0.182</v>
      </c>
      <c r="E241">
        <v>0.21199999999999999</v>
      </c>
      <c r="F241">
        <v>2.54186973527658E-2</v>
      </c>
      <c r="G241">
        <v>16.04</v>
      </c>
      <c r="H241">
        <v>0.876</v>
      </c>
      <c r="I241">
        <v>1182.0999999999999</v>
      </c>
    </row>
    <row r="242" spans="1:9" x14ac:dyDescent="0.35">
      <c r="A242" t="s">
        <v>251</v>
      </c>
      <c r="B242" t="s">
        <v>58</v>
      </c>
      <c r="C242">
        <v>0.35</v>
      </c>
      <c r="D242">
        <v>0.155</v>
      </c>
      <c r="E242">
        <v>0.52900000000000003</v>
      </c>
      <c r="F242">
        <v>-5.9234280816157801E-2</v>
      </c>
      <c r="G242">
        <v>110.61</v>
      </c>
      <c r="H242">
        <v>0.24399999999999999</v>
      </c>
      <c r="I242">
        <v>1180.7</v>
      </c>
    </row>
    <row r="243" spans="1:9" x14ac:dyDescent="0.35">
      <c r="A243" t="s">
        <v>252</v>
      </c>
      <c r="B243" t="s">
        <v>58</v>
      </c>
      <c r="C243">
        <v>0.107</v>
      </c>
      <c r="D243">
        <v>-0.06</v>
      </c>
      <c r="E243">
        <v>0.29699999999999999</v>
      </c>
      <c r="F243">
        <v>4.07992358773622E-2</v>
      </c>
      <c r="G243">
        <v>18.88</v>
      </c>
      <c r="H243">
        <v>0.85799999999999998</v>
      </c>
      <c r="I243">
        <v>1182.0999999999999</v>
      </c>
    </row>
    <row r="244" spans="1:9" x14ac:dyDescent="0.35">
      <c r="A244" t="s">
        <v>253</v>
      </c>
      <c r="B244" t="s">
        <v>58</v>
      </c>
      <c r="C244">
        <v>0.14499999999999999</v>
      </c>
      <c r="D244">
        <v>-6.0999999999999999E-2</v>
      </c>
      <c r="E244">
        <v>0.38200000000000001</v>
      </c>
      <c r="F244">
        <v>-1.0874230314644601E-2</v>
      </c>
      <c r="G244">
        <v>7.56</v>
      </c>
      <c r="H244">
        <v>0.94599999999999995</v>
      </c>
      <c r="I244">
        <v>1182.0999999999999</v>
      </c>
    </row>
    <row r="245" spans="1:9" x14ac:dyDescent="0.35">
      <c r="A245" t="s">
        <v>254</v>
      </c>
      <c r="B245" t="s">
        <v>58</v>
      </c>
      <c r="C245">
        <v>-0.16</v>
      </c>
      <c r="D245">
        <v>-0.372</v>
      </c>
      <c r="E245">
        <v>4.5999999999999999E-2</v>
      </c>
      <c r="F245">
        <v>3.1378482011253803E-2</v>
      </c>
      <c r="G245">
        <v>-90.78</v>
      </c>
      <c r="H245">
        <v>0.55500000000000005</v>
      </c>
      <c r="I245">
        <v>1181.8</v>
      </c>
    </row>
    <row r="246" spans="1:9" x14ac:dyDescent="0.35">
      <c r="A246" t="s">
        <v>255</v>
      </c>
      <c r="B246" t="s">
        <v>58</v>
      </c>
      <c r="C246">
        <v>5.1999999999999998E-2</v>
      </c>
      <c r="D246">
        <v>-0.115</v>
      </c>
      <c r="E246">
        <v>0.20799999999999999</v>
      </c>
      <c r="F246">
        <v>5.7233957556573803E-2</v>
      </c>
      <c r="G246">
        <v>29.05</v>
      </c>
      <c r="H246">
        <v>0.83</v>
      </c>
      <c r="I246">
        <v>1182.0999999999999</v>
      </c>
    </row>
    <row r="247" spans="1:9" x14ac:dyDescent="0.35">
      <c r="A247" t="s">
        <v>256</v>
      </c>
      <c r="B247" t="s">
        <v>58</v>
      </c>
      <c r="C247">
        <v>-1.2999999999999999E-2</v>
      </c>
      <c r="D247">
        <v>-0.20499999999999999</v>
      </c>
      <c r="E247">
        <v>0.19500000000000001</v>
      </c>
      <c r="F247">
        <v>1.9519589863581301E-2</v>
      </c>
      <c r="G247">
        <v>21.38</v>
      </c>
      <c r="H247">
        <v>0.89100000000000001</v>
      </c>
      <c r="I247">
        <v>1182.0999999999999</v>
      </c>
    </row>
    <row r="248" spans="1:9" x14ac:dyDescent="0.35">
      <c r="A248" t="s">
        <v>257</v>
      </c>
      <c r="B248" t="s">
        <v>58</v>
      </c>
      <c r="C248">
        <v>-8.9999999999999993E-3</v>
      </c>
      <c r="D248">
        <v>-0.20399999999999999</v>
      </c>
      <c r="E248">
        <v>0.16600000000000001</v>
      </c>
      <c r="F248">
        <v>4.3977910946580899E-2</v>
      </c>
      <c r="G248">
        <v>-14.01</v>
      </c>
      <c r="H248">
        <v>0.93100000000000005</v>
      </c>
      <c r="I248">
        <v>1182.0999999999999</v>
      </c>
    </row>
    <row r="249" spans="1:9" x14ac:dyDescent="0.35">
      <c r="A249" t="s">
        <v>258</v>
      </c>
      <c r="B249" t="s">
        <v>58</v>
      </c>
      <c r="C249">
        <v>-0.47799999999999998</v>
      </c>
      <c r="D249">
        <v>-0.59599999999999997</v>
      </c>
      <c r="E249">
        <v>-0.35599999999999998</v>
      </c>
      <c r="F249">
        <v>-5.8872765512030297E-3</v>
      </c>
      <c r="G249">
        <v>-601.88</v>
      </c>
      <c r="H249">
        <v>7.0000000000000001E-3</v>
      </c>
      <c r="I249">
        <v>1174.3</v>
      </c>
    </row>
    <row r="250" spans="1:9" x14ac:dyDescent="0.35">
      <c r="A250" t="s">
        <v>259</v>
      </c>
      <c r="B250" t="s">
        <v>58</v>
      </c>
      <c r="C250">
        <v>-0.61099999999999999</v>
      </c>
      <c r="D250">
        <v>-0.70699999999999996</v>
      </c>
      <c r="E250">
        <v>-0.51500000000000001</v>
      </c>
      <c r="F250">
        <v>-3.55670580612652E-3</v>
      </c>
      <c r="G250">
        <v>-713.11</v>
      </c>
      <c r="H250">
        <v>0</v>
      </c>
      <c r="I250">
        <v>1161</v>
      </c>
    </row>
    <row r="251" spans="1:9" x14ac:dyDescent="0.35">
      <c r="A251" t="s">
        <v>260</v>
      </c>
      <c r="B251" t="s">
        <v>58</v>
      </c>
      <c r="C251">
        <v>-0.28100000000000003</v>
      </c>
      <c r="D251">
        <v>-0.46</v>
      </c>
      <c r="E251">
        <v>-9.1999999999999998E-2</v>
      </c>
      <c r="F251">
        <v>1.46537100773525E-2</v>
      </c>
      <c r="G251">
        <v>16.690000000000001</v>
      </c>
      <c r="H251">
        <v>0.93200000000000005</v>
      </c>
      <c r="I251">
        <v>1182.0999999999999</v>
      </c>
    </row>
    <row r="252" spans="1:9" x14ac:dyDescent="0.35">
      <c r="A252" t="s">
        <v>261</v>
      </c>
      <c r="B252" t="s">
        <v>58</v>
      </c>
      <c r="C252">
        <v>-0.58899999999999997</v>
      </c>
      <c r="D252">
        <v>-0.68100000000000005</v>
      </c>
      <c r="E252">
        <v>-0.47599999999999998</v>
      </c>
      <c r="F252">
        <v>-1.03065472011319E-3</v>
      </c>
      <c r="G252">
        <v>-487.22</v>
      </c>
      <c r="H252">
        <v>0</v>
      </c>
      <c r="I252">
        <v>1163.4000000000001</v>
      </c>
    </row>
    <row r="253" spans="1:9" x14ac:dyDescent="0.35">
      <c r="A253" t="s">
        <v>262</v>
      </c>
      <c r="B253" t="s">
        <v>58</v>
      </c>
      <c r="C253">
        <v>-0.46600000000000003</v>
      </c>
      <c r="D253">
        <v>-0.60799999999999998</v>
      </c>
      <c r="E253">
        <v>-0.33100000000000002</v>
      </c>
      <c r="F253" s="1">
        <v>-2.4424726544739199E-5</v>
      </c>
      <c r="G253">
        <v>-406.3</v>
      </c>
      <c r="H253">
        <v>2.8000000000000001E-2</v>
      </c>
      <c r="I253">
        <v>1177</v>
      </c>
    </row>
    <row r="254" spans="1:9" x14ac:dyDescent="0.35">
      <c r="A254" t="s">
        <v>263</v>
      </c>
      <c r="B254" t="s">
        <v>58</v>
      </c>
      <c r="C254">
        <v>-0.54500000000000004</v>
      </c>
      <c r="D254">
        <v>-0.65800000000000003</v>
      </c>
      <c r="E254">
        <v>-0.42399999999999999</v>
      </c>
      <c r="F254">
        <v>1.13910081185626E-3</v>
      </c>
      <c r="G254">
        <v>-507.54</v>
      </c>
      <c r="H254">
        <v>1E-3</v>
      </c>
      <c r="I254">
        <v>1171</v>
      </c>
    </row>
    <row r="255" spans="1:9" x14ac:dyDescent="0.35">
      <c r="A255" t="s">
        <v>264</v>
      </c>
      <c r="B255" t="s">
        <v>58</v>
      </c>
      <c r="C255">
        <v>-0.312</v>
      </c>
      <c r="D255">
        <v>-0.45200000000000001</v>
      </c>
      <c r="E255">
        <v>-0.14499999999999999</v>
      </c>
      <c r="F255">
        <v>9.3291199108909595E-2</v>
      </c>
      <c r="G255">
        <v>-167.53</v>
      </c>
      <c r="H255">
        <v>0.255</v>
      </c>
      <c r="I255">
        <v>1180.7</v>
      </c>
    </row>
    <row r="256" spans="1:9" x14ac:dyDescent="0.35">
      <c r="A256" t="s">
        <v>265</v>
      </c>
      <c r="B256" t="s">
        <v>58</v>
      </c>
      <c r="C256">
        <v>-0.57799999999999996</v>
      </c>
      <c r="D256">
        <v>-0.68400000000000005</v>
      </c>
      <c r="E256">
        <v>-0.44700000000000001</v>
      </c>
      <c r="F256">
        <v>5.1511592765213901E-2</v>
      </c>
      <c r="G256">
        <v>-416.23</v>
      </c>
      <c r="H256">
        <v>0</v>
      </c>
      <c r="I256">
        <v>1165.4000000000001</v>
      </c>
    </row>
    <row r="257" spans="1:9" x14ac:dyDescent="0.35">
      <c r="A257" t="s">
        <v>266</v>
      </c>
      <c r="B257" t="s">
        <v>58</v>
      </c>
      <c r="C257">
        <v>-0.58799999999999997</v>
      </c>
      <c r="D257">
        <v>-0.70699999999999996</v>
      </c>
      <c r="E257">
        <v>-0.44</v>
      </c>
      <c r="F257">
        <v>5.8503513971659898E-2</v>
      </c>
      <c r="G257">
        <v>-754.31</v>
      </c>
      <c r="H257">
        <v>0</v>
      </c>
      <c r="I257">
        <v>1163.5</v>
      </c>
    </row>
    <row r="258" spans="1:9" x14ac:dyDescent="0.35">
      <c r="A258" t="s">
        <v>267</v>
      </c>
      <c r="B258" t="s">
        <v>58</v>
      </c>
      <c r="C258">
        <v>-0.66200000000000003</v>
      </c>
      <c r="D258">
        <v>-0.73599999999999999</v>
      </c>
      <c r="E258">
        <v>-0.57099999999999995</v>
      </c>
      <c r="F258">
        <v>1.9298281246050899E-2</v>
      </c>
      <c r="G258">
        <v>-414.56</v>
      </c>
      <c r="H258">
        <v>0</v>
      </c>
      <c r="I258">
        <v>1149.8</v>
      </c>
    </row>
    <row r="259" spans="1:9" x14ac:dyDescent="0.35">
      <c r="A259" t="s">
        <v>268</v>
      </c>
      <c r="B259" t="s">
        <v>58</v>
      </c>
      <c r="C259">
        <v>-0.28399999999999997</v>
      </c>
      <c r="D259">
        <v>-0.46800000000000003</v>
      </c>
      <c r="E259">
        <v>-7.4999999999999997E-2</v>
      </c>
      <c r="F259">
        <v>2.2388286553483801E-2</v>
      </c>
      <c r="G259">
        <v>10.44</v>
      </c>
      <c r="H259">
        <v>0.91800000000000004</v>
      </c>
      <c r="I259">
        <v>1182.0999999999999</v>
      </c>
    </row>
    <row r="260" spans="1:9" x14ac:dyDescent="0.35">
      <c r="A260" t="s">
        <v>269</v>
      </c>
      <c r="B260" t="s">
        <v>58</v>
      </c>
      <c r="C260">
        <v>-0.42199999999999999</v>
      </c>
      <c r="D260">
        <v>-0.58099999999999996</v>
      </c>
      <c r="E260">
        <v>-0.24</v>
      </c>
      <c r="F260">
        <v>1.33476648577421E-2</v>
      </c>
      <c r="G260">
        <v>-119.51</v>
      </c>
      <c r="H260">
        <v>0.17699999999999999</v>
      </c>
      <c r="I260">
        <v>1180.2</v>
      </c>
    </row>
    <row r="261" spans="1:9" x14ac:dyDescent="0.35">
      <c r="A261" t="s">
        <v>270</v>
      </c>
      <c r="B261" t="s">
        <v>58</v>
      </c>
      <c r="C261">
        <v>-0.47499999999999998</v>
      </c>
      <c r="D261">
        <v>-0.61799999999999999</v>
      </c>
      <c r="E261">
        <v>-0.34</v>
      </c>
      <c r="F261">
        <v>6.5521252534061394E-2</v>
      </c>
      <c r="G261">
        <v>-354.83</v>
      </c>
      <c r="H261">
        <v>2.4E-2</v>
      </c>
      <c r="I261">
        <v>1176.7</v>
      </c>
    </row>
    <row r="262" spans="1:9" x14ac:dyDescent="0.35">
      <c r="A262" t="s">
        <v>271</v>
      </c>
      <c r="B262" t="s">
        <v>58</v>
      </c>
      <c r="C262">
        <v>-0.61099999999999999</v>
      </c>
      <c r="D262">
        <v>-0.70799999999999996</v>
      </c>
      <c r="E262">
        <v>-0.5</v>
      </c>
      <c r="F262">
        <v>4.9035857188038601E-2</v>
      </c>
      <c r="G262">
        <v>-408.64</v>
      </c>
      <c r="H262">
        <v>0</v>
      </c>
      <c r="I262">
        <v>1160.4000000000001</v>
      </c>
    </row>
    <row r="263" spans="1:9" x14ac:dyDescent="0.35">
      <c r="A263" t="s">
        <v>272</v>
      </c>
      <c r="B263" t="s">
        <v>58</v>
      </c>
      <c r="C263">
        <v>-0.42099999999999999</v>
      </c>
      <c r="D263">
        <v>-0.56499999999999995</v>
      </c>
      <c r="E263">
        <v>-0.24199999999999999</v>
      </c>
      <c r="F263">
        <v>-5.0439540783089902E-3</v>
      </c>
      <c r="G263">
        <v>-330.56</v>
      </c>
      <c r="H263">
        <v>9.0999999999999998E-2</v>
      </c>
      <c r="I263">
        <v>1179.0999999999999</v>
      </c>
    </row>
    <row r="264" spans="1:9" x14ac:dyDescent="0.35">
      <c r="A264" t="s">
        <v>273</v>
      </c>
      <c r="B264" t="s">
        <v>58</v>
      </c>
      <c r="C264">
        <v>-0.61399999999999999</v>
      </c>
      <c r="D264">
        <v>-0.70499999999999996</v>
      </c>
      <c r="E264">
        <v>-0.51800000000000002</v>
      </c>
      <c r="F264">
        <v>-2.4314265581879698E-3</v>
      </c>
      <c r="G264">
        <v>-391.84</v>
      </c>
      <c r="H264">
        <v>0</v>
      </c>
      <c r="I264">
        <v>1160.0999999999999</v>
      </c>
    </row>
    <row r="265" spans="1:9" x14ac:dyDescent="0.35">
      <c r="A265" t="s">
        <v>274</v>
      </c>
      <c r="B265" t="s">
        <v>58</v>
      </c>
      <c r="C265">
        <v>0.13</v>
      </c>
      <c r="D265">
        <v>-8.3000000000000004E-2</v>
      </c>
      <c r="E265">
        <v>0.313</v>
      </c>
      <c r="F265">
        <v>4.4814997987854897E-2</v>
      </c>
      <c r="G265">
        <v>361.86</v>
      </c>
      <c r="H265">
        <v>0.05</v>
      </c>
      <c r="I265">
        <v>1178</v>
      </c>
    </row>
    <row r="266" spans="1:9" x14ac:dyDescent="0.35">
      <c r="A266" t="s">
        <v>275</v>
      </c>
      <c r="B266" t="s">
        <v>58</v>
      </c>
      <c r="C266">
        <v>-0.56399999999999995</v>
      </c>
      <c r="D266">
        <v>-0.66800000000000004</v>
      </c>
      <c r="E266">
        <v>-0.46300000000000002</v>
      </c>
      <c r="F266">
        <v>5.2081219434302302E-3</v>
      </c>
      <c r="G266">
        <v>-370.82</v>
      </c>
      <c r="H266">
        <v>0</v>
      </c>
      <c r="I266">
        <v>1168.3</v>
      </c>
    </row>
    <row r="267" spans="1:9" x14ac:dyDescent="0.35">
      <c r="A267" t="s">
        <v>276</v>
      </c>
      <c r="B267" t="s">
        <v>58</v>
      </c>
      <c r="C267">
        <v>0</v>
      </c>
      <c r="D267">
        <v>-0.20399999999999999</v>
      </c>
      <c r="E267">
        <v>0.21099999999999999</v>
      </c>
      <c r="F267">
        <v>4.2944924654428299E-2</v>
      </c>
      <c r="G267">
        <v>208.98</v>
      </c>
      <c r="H267">
        <v>0.187</v>
      </c>
      <c r="I267">
        <v>1180.3</v>
      </c>
    </row>
    <row r="268" spans="1:9" x14ac:dyDescent="0.35">
      <c r="A268" t="s">
        <v>277</v>
      </c>
      <c r="B268" t="s">
        <v>58</v>
      </c>
      <c r="C268">
        <v>-0.53700000000000003</v>
      </c>
      <c r="D268">
        <v>-0.64900000000000002</v>
      </c>
      <c r="E268">
        <v>-0.42599999999999999</v>
      </c>
      <c r="F268">
        <v>5.6145256058922196E-3</v>
      </c>
      <c r="G268">
        <v>-382.5</v>
      </c>
      <c r="H268">
        <v>1E-3</v>
      </c>
      <c r="I268">
        <v>1170.8</v>
      </c>
    </row>
    <row r="269" spans="1:9" x14ac:dyDescent="0.35">
      <c r="A269" t="s">
        <v>278</v>
      </c>
      <c r="B269" t="s">
        <v>58</v>
      </c>
      <c r="C269">
        <v>-0.47499999999999998</v>
      </c>
      <c r="D269">
        <v>-0.57599999999999996</v>
      </c>
      <c r="E269">
        <v>-0.36399999999999999</v>
      </c>
      <c r="F269">
        <v>-2.6978680493456499E-3</v>
      </c>
      <c r="G269">
        <v>-507.74</v>
      </c>
      <c r="H269">
        <v>7.0000000000000001E-3</v>
      </c>
      <c r="I269">
        <v>1174.4000000000001</v>
      </c>
    </row>
    <row r="270" spans="1:9" x14ac:dyDescent="0.35">
      <c r="A270" t="s">
        <v>279</v>
      </c>
      <c r="B270" t="s">
        <v>58</v>
      </c>
      <c r="C270">
        <v>-0.59799999999999998</v>
      </c>
      <c r="D270">
        <v>-0.69699999999999995</v>
      </c>
      <c r="E270">
        <v>-0.49199999999999999</v>
      </c>
      <c r="F270">
        <v>4.5086731976509004E-3</v>
      </c>
      <c r="G270">
        <v>-632.01</v>
      </c>
      <c r="H270">
        <v>0</v>
      </c>
      <c r="I270">
        <v>1163.2</v>
      </c>
    </row>
    <row r="271" spans="1:9" x14ac:dyDescent="0.35">
      <c r="A271" t="s">
        <v>280</v>
      </c>
      <c r="B271" t="s">
        <v>58</v>
      </c>
      <c r="C271">
        <v>-0.48599999999999999</v>
      </c>
      <c r="D271">
        <v>-0.624</v>
      </c>
      <c r="E271">
        <v>-0.35199999999999998</v>
      </c>
      <c r="F271">
        <v>-1.89678195797639E-2</v>
      </c>
      <c r="G271">
        <v>-533.33000000000004</v>
      </c>
      <c r="H271">
        <v>8.0000000000000002E-3</v>
      </c>
      <c r="I271">
        <v>1174.5999999999999</v>
      </c>
    </row>
    <row r="272" spans="1:9" x14ac:dyDescent="0.35">
      <c r="A272" t="s">
        <v>281</v>
      </c>
      <c r="B272" t="s">
        <v>58</v>
      </c>
      <c r="C272">
        <v>-0.60499999999999998</v>
      </c>
      <c r="D272">
        <v>-0.69599999999999995</v>
      </c>
      <c r="E272">
        <v>-0.498</v>
      </c>
      <c r="F272">
        <v>-7.8616012889009598E-3</v>
      </c>
      <c r="G272">
        <v>-629.75</v>
      </c>
      <c r="H272">
        <v>0</v>
      </c>
      <c r="I272">
        <v>1162.2</v>
      </c>
    </row>
    <row r="273" spans="1:9" x14ac:dyDescent="0.35">
      <c r="A273" t="s">
        <v>282</v>
      </c>
      <c r="B273" t="s">
        <v>58</v>
      </c>
      <c r="C273">
        <v>-0.47599999999999998</v>
      </c>
      <c r="D273">
        <v>-0.60199999999999998</v>
      </c>
      <c r="E273">
        <v>-0.33800000000000002</v>
      </c>
      <c r="F273">
        <v>-6.1816522585404201E-3</v>
      </c>
      <c r="G273">
        <v>-597.46</v>
      </c>
      <c r="H273">
        <v>8.0000000000000002E-3</v>
      </c>
      <c r="I273">
        <v>1174.5</v>
      </c>
    </row>
    <row r="274" spans="1:9" x14ac:dyDescent="0.35">
      <c r="A274" t="s">
        <v>283</v>
      </c>
      <c r="B274" t="s">
        <v>58</v>
      </c>
      <c r="C274">
        <v>-0.61099999999999999</v>
      </c>
      <c r="D274">
        <v>-0.70099999999999996</v>
      </c>
      <c r="E274">
        <v>-0.51900000000000002</v>
      </c>
      <c r="F274">
        <v>-3.7727635152056301E-3</v>
      </c>
      <c r="G274">
        <v>-712.92</v>
      </c>
      <c r="H274">
        <v>0</v>
      </c>
      <c r="I274">
        <v>1161.0999999999999</v>
      </c>
    </row>
    <row r="275" spans="1:9" x14ac:dyDescent="0.35">
      <c r="A275" t="s">
        <v>284</v>
      </c>
      <c r="B275" t="s">
        <v>58</v>
      </c>
      <c r="C275">
        <v>-0.28100000000000003</v>
      </c>
      <c r="D275">
        <v>-0.44400000000000001</v>
      </c>
      <c r="E275">
        <v>-9.0999999999999998E-2</v>
      </c>
      <c r="F275">
        <v>1.4656586937971099E-2</v>
      </c>
      <c r="G275">
        <v>16.350000000000001</v>
      </c>
      <c r="H275">
        <v>0.93400000000000005</v>
      </c>
      <c r="I275">
        <v>1182.0999999999999</v>
      </c>
    </row>
    <row r="276" spans="1:9" x14ac:dyDescent="0.35">
      <c r="A276" t="s">
        <v>285</v>
      </c>
      <c r="B276" t="s">
        <v>58</v>
      </c>
      <c r="C276">
        <v>-0.58899999999999997</v>
      </c>
      <c r="D276">
        <v>-0.69699999999999995</v>
      </c>
      <c r="E276">
        <v>-0.47899999999999998</v>
      </c>
      <c r="F276">
        <v>-1.02283996594867E-3</v>
      </c>
      <c r="G276">
        <v>-487.1</v>
      </c>
      <c r="H276">
        <v>0</v>
      </c>
      <c r="I276">
        <v>1163.4000000000001</v>
      </c>
    </row>
    <row r="277" spans="1:9" x14ac:dyDescent="0.35">
      <c r="A277" t="s">
        <v>9</v>
      </c>
      <c r="B277" t="s">
        <v>58</v>
      </c>
      <c r="C277">
        <v>-0.46600000000000003</v>
      </c>
      <c r="D277">
        <v>-0.59099999999999997</v>
      </c>
      <c r="E277">
        <v>-0.32200000000000001</v>
      </c>
      <c r="F277" s="1">
        <v>3.6368663292927597E-5</v>
      </c>
      <c r="G277">
        <v>-407.34</v>
      </c>
      <c r="H277">
        <v>2.8000000000000001E-2</v>
      </c>
      <c r="I277">
        <v>1176.9000000000001</v>
      </c>
    </row>
    <row r="278" spans="1:9" x14ac:dyDescent="0.35">
      <c r="A278" t="s">
        <v>11</v>
      </c>
      <c r="B278" t="s">
        <v>58</v>
      </c>
      <c r="C278">
        <v>-0.54500000000000004</v>
      </c>
      <c r="D278">
        <v>-0.65900000000000003</v>
      </c>
      <c r="E278">
        <v>-0.41699999999999998</v>
      </c>
      <c r="F278">
        <v>1.1796894794840801E-3</v>
      </c>
      <c r="G278">
        <v>-508.38</v>
      </c>
      <c r="H278">
        <v>1E-3</v>
      </c>
      <c r="I278">
        <v>1171</v>
      </c>
    </row>
    <row r="279" spans="1:9" x14ac:dyDescent="0.35">
      <c r="A279" t="s">
        <v>12</v>
      </c>
      <c r="B279" t="s">
        <v>58</v>
      </c>
      <c r="C279">
        <v>-0.311</v>
      </c>
      <c r="D279">
        <v>-0.47399999999999998</v>
      </c>
      <c r="E279">
        <v>-0.13300000000000001</v>
      </c>
      <c r="F279">
        <v>9.3191844425627501E-2</v>
      </c>
      <c r="G279">
        <v>-167.22</v>
      </c>
      <c r="H279">
        <v>0.25600000000000001</v>
      </c>
      <c r="I279">
        <v>1180.7</v>
      </c>
    </row>
    <row r="280" spans="1:9" x14ac:dyDescent="0.35">
      <c r="A280" t="s">
        <v>13</v>
      </c>
      <c r="B280" t="s">
        <v>58</v>
      </c>
      <c r="C280">
        <v>-0.57699999999999996</v>
      </c>
      <c r="D280">
        <v>-0.66700000000000004</v>
      </c>
      <c r="E280">
        <v>-0.46700000000000003</v>
      </c>
      <c r="F280">
        <v>5.1494375518012503E-2</v>
      </c>
      <c r="G280">
        <v>-415.89</v>
      </c>
      <c r="H280">
        <v>0</v>
      </c>
      <c r="I280">
        <v>1165.5</v>
      </c>
    </row>
    <row r="281" spans="1:9" x14ac:dyDescent="0.35">
      <c r="A281" t="s">
        <v>14</v>
      </c>
      <c r="B281" t="s">
        <v>58</v>
      </c>
      <c r="C281">
        <v>-0.58799999999999997</v>
      </c>
      <c r="D281">
        <v>-0.72299999999999998</v>
      </c>
      <c r="E281">
        <v>-0.43099999999999999</v>
      </c>
      <c r="F281">
        <v>5.8499125171133801E-2</v>
      </c>
      <c r="G281">
        <v>-754.34</v>
      </c>
      <c r="H281">
        <v>0</v>
      </c>
      <c r="I281">
        <v>1163.5</v>
      </c>
    </row>
    <row r="282" spans="1:9" x14ac:dyDescent="0.35">
      <c r="A282" t="s">
        <v>15</v>
      </c>
      <c r="B282" t="s">
        <v>58</v>
      </c>
      <c r="C282">
        <v>-0.66200000000000003</v>
      </c>
      <c r="D282">
        <v>-0.74399999999999999</v>
      </c>
      <c r="E282">
        <v>-0.55500000000000005</v>
      </c>
      <c r="F282">
        <v>1.9288279676295601E-2</v>
      </c>
      <c r="G282">
        <v>-414.6</v>
      </c>
      <c r="H282">
        <v>0</v>
      </c>
      <c r="I282">
        <v>1149.8</v>
      </c>
    </row>
    <row r="283" spans="1:9" x14ac:dyDescent="0.35">
      <c r="A283" t="s">
        <v>16</v>
      </c>
      <c r="B283" t="s">
        <v>58</v>
      </c>
      <c r="C283">
        <v>-0.28399999999999997</v>
      </c>
      <c r="D283">
        <v>-0.47199999999999998</v>
      </c>
      <c r="E283">
        <v>-7.8E-2</v>
      </c>
      <c r="F283">
        <v>2.2358928057497899E-2</v>
      </c>
      <c r="G283">
        <v>10.42</v>
      </c>
      <c r="H283">
        <v>0.91900000000000004</v>
      </c>
      <c r="I283">
        <v>1182.0999999999999</v>
      </c>
    </row>
    <row r="284" spans="1:9" x14ac:dyDescent="0.35">
      <c r="A284" t="s">
        <v>17</v>
      </c>
      <c r="B284" t="s">
        <v>58</v>
      </c>
      <c r="C284">
        <v>-0.42199999999999999</v>
      </c>
      <c r="D284">
        <v>-0.57199999999999995</v>
      </c>
      <c r="E284">
        <v>-0.22900000000000001</v>
      </c>
      <c r="F284">
        <v>1.33176774561998E-2</v>
      </c>
      <c r="G284">
        <v>-119.49</v>
      </c>
      <c r="H284">
        <v>0.17699999999999999</v>
      </c>
      <c r="I284">
        <v>1180.2</v>
      </c>
    </row>
    <row r="285" spans="1:9" x14ac:dyDescent="0.35">
      <c r="A285" t="s">
        <v>18</v>
      </c>
      <c r="B285" t="s">
        <v>58</v>
      </c>
      <c r="C285">
        <v>-0.47499999999999998</v>
      </c>
      <c r="D285">
        <v>-0.61599999999999999</v>
      </c>
      <c r="E285">
        <v>-0.31900000000000001</v>
      </c>
      <c r="F285">
        <v>6.5513210196499694E-2</v>
      </c>
      <c r="G285">
        <v>-354.88</v>
      </c>
      <c r="H285">
        <v>2.4E-2</v>
      </c>
      <c r="I285">
        <v>1176.7</v>
      </c>
    </row>
    <row r="286" spans="1:9" x14ac:dyDescent="0.35">
      <c r="A286" t="s">
        <v>19</v>
      </c>
      <c r="B286" t="s">
        <v>58</v>
      </c>
      <c r="C286">
        <v>-0.61099999999999999</v>
      </c>
      <c r="D286">
        <v>-0.69099999999999995</v>
      </c>
      <c r="E286">
        <v>-0.495</v>
      </c>
      <c r="F286">
        <v>4.9026731415567099E-2</v>
      </c>
      <c r="G286">
        <v>-408.67</v>
      </c>
      <c r="H286">
        <v>0</v>
      </c>
      <c r="I286">
        <v>1160.4000000000001</v>
      </c>
    </row>
    <row r="287" spans="1:9" x14ac:dyDescent="0.35">
      <c r="A287" t="s">
        <v>20</v>
      </c>
      <c r="B287" t="s">
        <v>58</v>
      </c>
      <c r="C287">
        <v>-0.42099999999999999</v>
      </c>
      <c r="D287">
        <v>-0.55500000000000005</v>
      </c>
      <c r="E287">
        <v>-0.252</v>
      </c>
      <c r="F287">
        <v>-5.0292527766694099E-3</v>
      </c>
      <c r="G287">
        <v>-330.91</v>
      </c>
      <c r="H287">
        <v>0.09</v>
      </c>
      <c r="I287">
        <v>1179</v>
      </c>
    </row>
    <row r="288" spans="1:9" x14ac:dyDescent="0.35">
      <c r="A288" t="s">
        <v>21</v>
      </c>
      <c r="B288" t="s">
        <v>58</v>
      </c>
      <c r="C288">
        <v>-0.61399999999999999</v>
      </c>
      <c r="D288">
        <v>-0.70399999999999996</v>
      </c>
      <c r="E288">
        <v>-0.48</v>
      </c>
      <c r="F288">
        <v>-2.4584849868729899E-3</v>
      </c>
      <c r="G288">
        <v>-392.01</v>
      </c>
      <c r="H288">
        <v>0</v>
      </c>
      <c r="I288">
        <v>1160.0999999999999</v>
      </c>
    </row>
    <row r="289" spans="1:9" x14ac:dyDescent="0.35">
      <c r="A289" t="s">
        <v>22</v>
      </c>
      <c r="B289" t="s">
        <v>58</v>
      </c>
      <c r="C289">
        <v>0.13</v>
      </c>
      <c r="D289">
        <v>-7.3999999999999996E-2</v>
      </c>
      <c r="E289">
        <v>0.32500000000000001</v>
      </c>
      <c r="F289">
        <v>4.4723228885559699E-2</v>
      </c>
      <c r="G289">
        <v>361.16</v>
      </c>
      <c r="H289">
        <v>0.05</v>
      </c>
      <c r="I289">
        <v>1178</v>
      </c>
    </row>
    <row r="290" spans="1:9" x14ac:dyDescent="0.35">
      <c r="A290" t="s">
        <v>23</v>
      </c>
      <c r="B290" t="s">
        <v>58</v>
      </c>
      <c r="C290">
        <v>-0.56399999999999995</v>
      </c>
      <c r="D290">
        <v>-0.65600000000000003</v>
      </c>
      <c r="E290">
        <v>-0.44500000000000001</v>
      </c>
      <c r="F290">
        <v>5.2032730231448597E-3</v>
      </c>
      <c r="G290">
        <v>-370.74</v>
      </c>
      <c r="H290">
        <v>0</v>
      </c>
      <c r="I290">
        <v>1168.3</v>
      </c>
    </row>
    <row r="291" spans="1:9" x14ac:dyDescent="0.35">
      <c r="A291" t="s">
        <v>24</v>
      </c>
      <c r="B291" t="s">
        <v>58</v>
      </c>
      <c r="C291">
        <v>0</v>
      </c>
      <c r="D291">
        <v>-0.24</v>
      </c>
      <c r="E291">
        <v>0.222</v>
      </c>
      <c r="F291">
        <v>4.3093020013857203E-2</v>
      </c>
      <c r="G291">
        <v>208.98</v>
      </c>
      <c r="H291">
        <v>0.187</v>
      </c>
      <c r="I291">
        <v>1180.3</v>
      </c>
    </row>
    <row r="292" spans="1:9" x14ac:dyDescent="0.35">
      <c r="A292" t="s">
        <v>25</v>
      </c>
      <c r="B292" t="s">
        <v>58</v>
      </c>
      <c r="C292">
        <v>-0.53700000000000003</v>
      </c>
      <c r="D292">
        <v>-0.64200000000000002</v>
      </c>
      <c r="E292">
        <v>-0.40500000000000003</v>
      </c>
      <c r="F292">
        <v>5.70807029281709E-3</v>
      </c>
      <c r="G292">
        <v>-382.89</v>
      </c>
      <c r="H292">
        <v>1E-3</v>
      </c>
      <c r="I292">
        <v>1170.8</v>
      </c>
    </row>
    <row r="293" spans="1:9" x14ac:dyDescent="0.35">
      <c r="A293" t="s">
        <v>26</v>
      </c>
      <c r="B293" t="s">
        <v>58</v>
      </c>
      <c r="C293">
        <v>-0.47399999999999998</v>
      </c>
      <c r="D293">
        <v>-0.58199999999999996</v>
      </c>
      <c r="E293">
        <v>-0.34699999999999998</v>
      </c>
      <c r="F293">
        <v>-2.7678541060593598E-3</v>
      </c>
      <c r="G293">
        <v>-505.06</v>
      </c>
      <c r="H293">
        <v>8.0000000000000002E-3</v>
      </c>
      <c r="I293">
        <v>1174.5</v>
      </c>
    </row>
    <row r="294" spans="1:9" x14ac:dyDescent="0.35">
      <c r="A294" t="s">
        <v>27</v>
      </c>
      <c r="B294" t="s">
        <v>58</v>
      </c>
      <c r="C294">
        <v>-0.59799999999999998</v>
      </c>
      <c r="D294">
        <v>-0.68200000000000005</v>
      </c>
      <c r="E294">
        <v>-0.48599999999999999</v>
      </c>
      <c r="F294">
        <v>4.4588108974514696E-3</v>
      </c>
      <c r="G294">
        <v>-631.64</v>
      </c>
      <c r="H294">
        <v>0</v>
      </c>
      <c r="I294">
        <v>1163.3</v>
      </c>
    </row>
    <row r="295" spans="1:9" x14ac:dyDescent="0.35">
      <c r="A295" t="s">
        <v>28</v>
      </c>
      <c r="B295" t="s">
        <v>58</v>
      </c>
      <c r="C295">
        <v>-0.48499999999999999</v>
      </c>
      <c r="D295">
        <v>-0.59899999999999998</v>
      </c>
      <c r="E295">
        <v>-0.35299999999999998</v>
      </c>
      <c r="F295">
        <v>-1.9136880009234299E-2</v>
      </c>
      <c r="G295">
        <v>-530.66</v>
      </c>
      <c r="H295">
        <v>8.0000000000000002E-3</v>
      </c>
      <c r="I295">
        <v>1174.7</v>
      </c>
    </row>
    <row r="296" spans="1:9" x14ac:dyDescent="0.35">
      <c r="A296" t="s">
        <v>29</v>
      </c>
      <c r="B296" t="s">
        <v>58</v>
      </c>
      <c r="C296">
        <v>-0.60399999999999998</v>
      </c>
      <c r="D296">
        <v>-0.68700000000000006</v>
      </c>
      <c r="E296">
        <v>-0.51100000000000001</v>
      </c>
      <c r="F296">
        <v>-8.0112546656120505E-3</v>
      </c>
      <c r="G296">
        <v>-629.62</v>
      </c>
      <c r="H296">
        <v>0</v>
      </c>
      <c r="I296">
        <v>1162.3</v>
      </c>
    </row>
    <row r="297" spans="1:9" x14ac:dyDescent="0.35">
      <c r="A297" t="s">
        <v>30</v>
      </c>
      <c r="B297" t="s">
        <v>58</v>
      </c>
      <c r="C297">
        <v>-0.40699999999999997</v>
      </c>
      <c r="D297">
        <v>-0.55600000000000005</v>
      </c>
      <c r="E297">
        <v>-0.25</v>
      </c>
      <c r="F297">
        <v>-3.4448570338173399E-3</v>
      </c>
      <c r="G297">
        <v>-1.46</v>
      </c>
      <c r="H297">
        <v>4.0000000000000001E-3</v>
      </c>
      <c r="I297">
        <v>1173.2</v>
      </c>
    </row>
    <row r="298" spans="1:9" x14ac:dyDescent="0.35">
      <c r="A298" t="s">
        <v>31</v>
      </c>
      <c r="B298" t="s">
        <v>58</v>
      </c>
      <c r="C298">
        <v>-0.58899999999999997</v>
      </c>
      <c r="D298">
        <v>-0.68700000000000006</v>
      </c>
      <c r="E298">
        <v>-0.47899999999999998</v>
      </c>
      <c r="F298">
        <v>-1.37417532521029E-3</v>
      </c>
      <c r="G298">
        <v>-1.88</v>
      </c>
      <c r="H298">
        <v>0</v>
      </c>
      <c r="I298">
        <v>1162.0999999999999</v>
      </c>
    </row>
    <row r="299" spans="1:9" x14ac:dyDescent="0.35">
      <c r="A299" t="s">
        <v>32</v>
      </c>
      <c r="B299" t="s">
        <v>58</v>
      </c>
      <c r="C299">
        <v>-0.307</v>
      </c>
      <c r="D299">
        <v>-0.47799999999999998</v>
      </c>
      <c r="E299">
        <v>-0.112</v>
      </c>
      <c r="F299">
        <v>1.83752282233146E-2</v>
      </c>
      <c r="G299">
        <v>-0.27</v>
      </c>
      <c r="H299">
        <v>0.80700000000000005</v>
      </c>
      <c r="I299">
        <v>1182.0999999999999</v>
      </c>
    </row>
    <row r="300" spans="1:9" x14ac:dyDescent="0.35">
      <c r="A300" t="s">
        <v>33</v>
      </c>
      <c r="B300" t="s">
        <v>58</v>
      </c>
      <c r="C300">
        <v>-0.60699999999999998</v>
      </c>
      <c r="D300">
        <v>-0.69</v>
      </c>
      <c r="E300">
        <v>-0.50800000000000001</v>
      </c>
      <c r="F300">
        <v>1.62620671192746E-3</v>
      </c>
      <c r="G300">
        <v>-2.64</v>
      </c>
      <c r="H300">
        <v>0</v>
      </c>
      <c r="I300">
        <v>1159.5999999999999</v>
      </c>
    </row>
    <row r="301" spans="1:9" x14ac:dyDescent="0.35">
      <c r="A301" t="s">
        <v>34</v>
      </c>
      <c r="B301" t="s">
        <v>58</v>
      </c>
      <c r="C301">
        <v>-0.4</v>
      </c>
      <c r="D301">
        <v>-0.55600000000000005</v>
      </c>
      <c r="E301">
        <v>-0.20599999999999999</v>
      </c>
      <c r="F301">
        <v>4.5944584473546204E-3</v>
      </c>
      <c r="G301">
        <v>-3.4</v>
      </c>
      <c r="H301">
        <v>0.161</v>
      </c>
      <c r="I301">
        <v>1180</v>
      </c>
    </row>
    <row r="302" spans="1:9" x14ac:dyDescent="0.35">
      <c r="A302" t="s">
        <v>35</v>
      </c>
      <c r="B302" t="s">
        <v>58</v>
      </c>
      <c r="C302">
        <v>-0.496</v>
      </c>
      <c r="D302">
        <v>-0.59499999999999997</v>
      </c>
      <c r="E302">
        <v>-0.376</v>
      </c>
      <c r="F302">
        <v>5.3547802241836499E-3</v>
      </c>
      <c r="G302">
        <v>-5.34</v>
      </c>
      <c r="H302">
        <v>1.7000000000000001E-2</v>
      </c>
      <c r="I302">
        <v>1176.0999999999999</v>
      </c>
    </row>
    <row r="303" spans="1:9" x14ac:dyDescent="0.35">
      <c r="A303" t="s">
        <v>36</v>
      </c>
      <c r="B303" t="s">
        <v>58</v>
      </c>
      <c r="C303">
        <v>-0.33500000000000002</v>
      </c>
      <c r="D303">
        <v>-0.51100000000000001</v>
      </c>
      <c r="E303">
        <v>-0.161</v>
      </c>
      <c r="F303">
        <v>7.4464036794611402E-2</v>
      </c>
      <c r="G303">
        <v>-1.3</v>
      </c>
      <c r="H303">
        <v>0.14000000000000001</v>
      </c>
      <c r="I303">
        <v>1179.8</v>
      </c>
    </row>
    <row r="304" spans="1:9" x14ac:dyDescent="0.35">
      <c r="A304" t="s">
        <v>37</v>
      </c>
      <c r="B304" t="s">
        <v>58</v>
      </c>
      <c r="C304">
        <v>-0.51900000000000002</v>
      </c>
      <c r="D304">
        <v>-0.64700000000000002</v>
      </c>
      <c r="E304">
        <v>-0.36</v>
      </c>
      <c r="F304">
        <v>5.3389246476976501E-2</v>
      </c>
      <c r="G304">
        <v>-2.4</v>
      </c>
      <c r="H304">
        <v>1E-3</v>
      </c>
      <c r="I304">
        <v>1171.0999999999999</v>
      </c>
    </row>
    <row r="305" spans="1:9" x14ac:dyDescent="0.35">
      <c r="A305" t="s">
        <v>38</v>
      </c>
      <c r="B305" t="s">
        <v>58</v>
      </c>
      <c r="C305">
        <v>-0.52800000000000002</v>
      </c>
      <c r="D305">
        <v>-0.65</v>
      </c>
      <c r="E305">
        <v>-0.35599999999999998</v>
      </c>
      <c r="F305">
        <v>4.9336920949126499E-2</v>
      </c>
      <c r="G305">
        <v>-3.48</v>
      </c>
      <c r="H305">
        <v>3.0000000000000001E-3</v>
      </c>
      <c r="I305">
        <v>1172.5</v>
      </c>
    </row>
    <row r="306" spans="1:9" x14ac:dyDescent="0.35">
      <c r="A306" t="s">
        <v>39</v>
      </c>
      <c r="B306" t="s">
        <v>58</v>
      </c>
      <c r="C306">
        <v>-0.54100000000000004</v>
      </c>
      <c r="D306">
        <v>-0.66700000000000004</v>
      </c>
      <c r="E306">
        <v>-0.40300000000000002</v>
      </c>
      <c r="F306">
        <v>4.0899325787348902E-2</v>
      </c>
      <c r="G306">
        <v>-3.47</v>
      </c>
      <c r="H306">
        <v>1E-3</v>
      </c>
      <c r="I306">
        <v>1170.9000000000001</v>
      </c>
    </row>
    <row r="307" spans="1:9" x14ac:dyDescent="0.35">
      <c r="A307" t="s">
        <v>40</v>
      </c>
      <c r="B307" t="s">
        <v>58</v>
      </c>
      <c r="C307">
        <v>-0.26400000000000001</v>
      </c>
      <c r="D307">
        <v>-0.46500000000000002</v>
      </c>
      <c r="E307">
        <v>-7.8E-2</v>
      </c>
      <c r="F307">
        <v>1.9893884753841101E-2</v>
      </c>
      <c r="G307">
        <v>0.55000000000000004</v>
      </c>
      <c r="H307">
        <v>0.64</v>
      </c>
      <c r="I307">
        <v>1181.9000000000001</v>
      </c>
    </row>
    <row r="308" spans="1:9" x14ac:dyDescent="0.35">
      <c r="A308" t="s">
        <v>41</v>
      </c>
      <c r="B308" t="s">
        <v>58</v>
      </c>
      <c r="C308">
        <v>-0.35399999999999998</v>
      </c>
      <c r="D308">
        <v>-0.52500000000000002</v>
      </c>
      <c r="E308">
        <v>-0.17299999999999999</v>
      </c>
      <c r="F308">
        <v>1.4140757167308501E-2</v>
      </c>
      <c r="G308">
        <v>-0.48</v>
      </c>
      <c r="H308">
        <v>0.66</v>
      </c>
      <c r="I308">
        <v>1181.9000000000001</v>
      </c>
    </row>
    <row r="309" spans="1:9" x14ac:dyDescent="0.35">
      <c r="A309" t="s">
        <v>42</v>
      </c>
      <c r="B309" t="s">
        <v>58</v>
      </c>
      <c r="C309">
        <v>-0.45400000000000001</v>
      </c>
      <c r="D309">
        <v>-0.6</v>
      </c>
      <c r="E309">
        <v>-0.30399999999999999</v>
      </c>
      <c r="F309">
        <v>6.0651339961893001E-2</v>
      </c>
      <c r="G309">
        <v>-2.25</v>
      </c>
      <c r="H309">
        <v>4.7E-2</v>
      </c>
      <c r="I309">
        <v>1177.9000000000001</v>
      </c>
    </row>
    <row r="310" spans="1:9" x14ac:dyDescent="0.35">
      <c r="A310" t="s">
        <v>43</v>
      </c>
      <c r="B310" t="s">
        <v>58</v>
      </c>
      <c r="C310">
        <v>-0.55300000000000005</v>
      </c>
      <c r="D310">
        <v>-0.66100000000000003</v>
      </c>
      <c r="E310">
        <v>-0.44800000000000001</v>
      </c>
      <c r="F310">
        <v>6.0247622328759201E-2</v>
      </c>
      <c r="G310">
        <v>-2.99</v>
      </c>
      <c r="H310">
        <v>1E-3</v>
      </c>
      <c r="I310">
        <v>1169.5</v>
      </c>
    </row>
    <row r="311" spans="1:9" x14ac:dyDescent="0.35">
      <c r="A311" t="s">
        <v>44</v>
      </c>
      <c r="B311" t="s">
        <v>58</v>
      </c>
      <c r="C311">
        <v>-0.51500000000000001</v>
      </c>
      <c r="D311">
        <v>-0.625</v>
      </c>
      <c r="E311">
        <v>-0.38700000000000001</v>
      </c>
      <c r="F311">
        <v>1.8832201700312199E-3</v>
      </c>
      <c r="G311">
        <v>-3.2</v>
      </c>
      <c r="H311">
        <v>0.01</v>
      </c>
      <c r="I311">
        <v>1175</v>
      </c>
    </row>
    <row r="312" spans="1:9" x14ac:dyDescent="0.35">
      <c r="A312" t="s">
        <v>45</v>
      </c>
      <c r="B312" t="s">
        <v>58</v>
      </c>
      <c r="C312">
        <v>-0.49299999999999999</v>
      </c>
      <c r="D312">
        <v>-0.61299999999999999</v>
      </c>
      <c r="E312">
        <v>-0.35199999999999998</v>
      </c>
      <c r="F312">
        <v>4.7379297599151804E-3</v>
      </c>
      <c r="G312">
        <v>-2.97</v>
      </c>
      <c r="H312">
        <v>0.02</v>
      </c>
      <c r="I312">
        <v>1176.3</v>
      </c>
    </row>
    <row r="313" spans="1:9" x14ac:dyDescent="0.35">
      <c r="A313" t="s">
        <v>46</v>
      </c>
      <c r="B313" t="s">
        <v>58</v>
      </c>
      <c r="C313">
        <v>5.3999999999999999E-2</v>
      </c>
      <c r="D313">
        <v>-0.17799999999999999</v>
      </c>
      <c r="E313">
        <v>0.28999999999999998</v>
      </c>
      <c r="F313">
        <v>4.02684001603709E-2</v>
      </c>
      <c r="G313">
        <v>1.63</v>
      </c>
      <c r="H313">
        <v>0.12</v>
      </c>
      <c r="I313">
        <v>1179.5</v>
      </c>
    </row>
    <row r="314" spans="1:9" x14ac:dyDescent="0.35">
      <c r="A314" t="s">
        <v>47</v>
      </c>
      <c r="B314" t="s">
        <v>58</v>
      </c>
      <c r="C314">
        <v>-0.59299999999999997</v>
      </c>
      <c r="D314">
        <v>-0.68700000000000006</v>
      </c>
      <c r="E314">
        <v>-0.49399999999999999</v>
      </c>
      <c r="F314">
        <v>5.5387412259137797E-3</v>
      </c>
      <c r="G314">
        <v>-2.2599999999999998</v>
      </c>
      <c r="H314">
        <v>0</v>
      </c>
      <c r="I314">
        <v>1163.8</v>
      </c>
    </row>
    <row r="315" spans="1:9" x14ac:dyDescent="0.35">
      <c r="A315" t="s">
        <v>48</v>
      </c>
      <c r="B315" t="s">
        <v>58</v>
      </c>
      <c r="C315">
        <v>1.4999999999999999E-2</v>
      </c>
      <c r="D315">
        <v>-0.21299999999999999</v>
      </c>
      <c r="E315">
        <v>0.20100000000000001</v>
      </c>
      <c r="F315">
        <v>3.4175023309802197E-2</v>
      </c>
      <c r="G315">
        <v>1.45</v>
      </c>
      <c r="H315">
        <v>0.154</v>
      </c>
      <c r="I315">
        <v>1179.9000000000001</v>
      </c>
    </row>
    <row r="316" spans="1:9" x14ac:dyDescent="0.35">
      <c r="A316" t="s">
        <v>49</v>
      </c>
      <c r="B316" t="s">
        <v>58</v>
      </c>
      <c r="C316">
        <v>-0.49</v>
      </c>
      <c r="D316">
        <v>-0.60099999999999998</v>
      </c>
      <c r="E316">
        <v>-0.35399999999999998</v>
      </c>
      <c r="F316">
        <v>7.0363847785626498E-3</v>
      </c>
      <c r="G316">
        <v>-2.29</v>
      </c>
      <c r="H316">
        <v>0.01</v>
      </c>
      <c r="I316">
        <v>1175.0999999999999</v>
      </c>
    </row>
    <row r="317" spans="1:9" x14ac:dyDescent="0.35">
      <c r="A317" t="s">
        <v>50</v>
      </c>
      <c r="B317" t="s">
        <v>58</v>
      </c>
      <c r="C317">
        <v>-0.42</v>
      </c>
      <c r="D317">
        <v>-0.56299999999999994</v>
      </c>
      <c r="E317">
        <v>-0.27</v>
      </c>
      <c r="F317">
        <v>-1.4419443502620901E-3</v>
      </c>
      <c r="G317">
        <v>-1.33</v>
      </c>
      <c r="H317">
        <v>4.0000000000000001E-3</v>
      </c>
      <c r="I317">
        <v>1173.2</v>
      </c>
    </row>
    <row r="318" spans="1:9" x14ac:dyDescent="0.35">
      <c r="A318" t="s">
        <v>51</v>
      </c>
      <c r="B318" t="s">
        <v>58</v>
      </c>
      <c r="C318">
        <v>-0.60599999999999998</v>
      </c>
      <c r="D318">
        <v>-0.69799999999999995</v>
      </c>
      <c r="E318">
        <v>-0.51</v>
      </c>
      <c r="F318">
        <v>3.9007232578847401E-3</v>
      </c>
      <c r="G318">
        <v>-1.85</v>
      </c>
      <c r="H318">
        <v>0</v>
      </c>
      <c r="I318">
        <v>1159.9000000000001</v>
      </c>
    </row>
    <row r="319" spans="1:9" x14ac:dyDescent="0.35">
      <c r="A319" t="s">
        <v>52</v>
      </c>
      <c r="B319" t="s">
        <v>58</v>
      </c>
      <c r="C319">
        <v>-0.376</v>
      </c>
      <c r="D319">
        <v>-0.51800000000000002</v>
      </c>
      <c r="E319">
        <v>-0.20200000000000001</v>
      </c>
      <c r="F319">
        <v>-1.2211271607241799E-2</v>
      </c>
      <c r="G319">
        <v>-1.22</v>
      </c>
      <c r="H319">
        <v>1.7000000000000001E-2</v>
      </c>
      <c r="I319">
        <v>1176.0999999999999</v>
      </c>
    </row>
    <row r="320" spans="1:9" x14ac:dyDescent="0.35">
      <c r="A320" t="s">
        <v>53</v>
      </c>
      <c r="B320" t="s">
        <v>58</v>
      </c>
      <c r="C320">
        <v>-0.58099999999999996</v>
      </c>
      <c r="D320">
        <v>-0.68700000000000006</v>
      </c>
      <c r="E320">
        <v>-0.47499999999999998</v>
      </c>
      <c r="F320">
        <v>-5.2398907750966697E-3</v>
      </c>
      <c r="G320">
        <v>-1.78</v>
      </c>
      <c r="H320">
        <v>0</v>
      </c>
      <c r="I320">
        <v>1163.8</v>
      </c>
    </row>
    <row r="321" spans="1:9" x14ac:dyDescent="0.35">
      <c r="A321" t="s">
        <v>54</v>
      </c>
      <c r="B321" t="s">
        <v>58</v>
      </c>
      <c r="C321">
        <v>-0.28299999999999997</v>
      </c>
      <c r="D321">
        <v>-0.44500000000000001</v>
      </c>
      <c r="E321">
        <v>-0.13200000000000001</v>
      </c>
      <c r="F321">
        <v>-4.7841224057336901E-2</v>
      </c>
      <c r="G321">
        <v>-167.02</v>
      </c>
      <c r="H321">
        <v>0.185</v>
      </c>
      <c r="I321">
        <v>1180.2</v>
      </c>
    </row>
    <row r="322" spans="1:9" x14ac:dyDescent="0.35">
      <c r="A322" t="s">
        <v>55</v>
      </c>
      <c r="B322" t="s">
        <v>58</v>
      </c>
      <c r="C322">
        <v>-0.28699999999999998</v>
      </c>
      <c r="D322">
        <v>-0.47699999999999998</v>
      </c>
      <c r="E322">
        <v>-0.11600000000000001</v>
      </c>
      <c r="F322">
        <v>-4.8156044827356199E-2</v>
      </c>
      <c r="G322">
        <v>-169.94</v>
      </c>
      <c r="H322">
        <v>0.17899999999999999</v>
      </c>
      <c r="I322">
        <v>1180.2</v>
      </c>
    </row>
    <row r="323" spans="1:9" x14ac:dyDescent="0.35">
      <c r="A323" t="s">
        <v>56</v>
      </c>
      <c r="B323" t="s">
        <v>58</v>
      </c>
      <c r="C323">
        <v>-0.21</v>
      </c>
      <c r="D323">
        <v>-0.38900000000000001</v>
      </c>
      <c r="E323">
        <v>-4.5999999999999999E-2</v>
      </c>
      <c r="F323">
        <v>-4.12384990143565E-2</v>
      </c>
      <c r="G323">
        <v>-29.94</v>
      </c>
      <c r="H323">
        <v>0.20300000000000001</v>
      </c>
      <c r="I323">
        <v>1180.4000000000001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EFC0-47F9-402A-80B1-B0C51EDF0AD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286</v>
      </c>
    </row>
    <row r="2" spans="1:1" x14ac:dyDescent="0.35">
      <c r="A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Summary_table_A_llms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Porshnev</dc:creator>
  <cp:lastModifiedBy>Alexander Porshnev</cp:lastModifiedBy>
  <dcterms:created xsi:type="dcterms:W3CDTF">2024-11-26T10:18:37Z</dcterms:created>
  <dcterms:modified xsi:type="dcterms:W3CDTF">2024-11-26T11:52:17Z</dcterms:modified>
</cp:coreProperties>
</file>